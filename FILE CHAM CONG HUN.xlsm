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13_ncr:1_{E6F67FEB-2E1B-45EB-B1B0-A4D43C941C68}" xr6:coauthVersionLast="47" xr6:coauthVersionMax="47" xr10:uidLastSave="{00000000-0000-0000-0000-000000000000}"/>
  <bookViews>
    <workbookView xWindow="-120" yWindow="-120" windowWidth="20730" windowHeight="11160" tabRatio="236" xr2:uid="{00000000-000D-0000-FFFF-FFFF00000000}"/>
  </bookViews>
  <sheets>
    <sheet name="CHECK_IO" sheetId="2" r:id="rId1"/>
    <sheet name="TRA LUONG" sheetId="3" r:id="rId2"/>
    <sheet name="Sheet1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" i="2" l="1"/>
  <c r="I2" i="2"/>
  <c r="N2" i="2"/>
  <c r="D2" i="2"/>
  <c r="X2" i="2" l="1"/>
  <c r="X1" i="2" l="1"/>
  <c r="D4" i="1" l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D3" i="1"/>
  <c r="E3" i="1" s="1"/>
  <c r="F3" i="1" s="1"/>
  <c r="G3" i="1" s="1"/>
  <c r="H3" i="1" s="1"/>
  <c r="I3" i="1" s="1"/>
  <c r="J3" i="1" s="1"/>
  <c r="K3" i="1" s="1"/>
  <c r="L3" i="1" s="1"/>
  <c r="M3" i="1" s="1"/>
  <c r="N3" i="1" s="1"/>
  <c r="O3" i="1" s="1"/>
  <c r="P3" i="1" s="1"/>
  <c r="Q3" i="1" s="1"/>
  <c r="R3" i="1" s="1"/>
  <c r="S3" i="1" s="1"/>
  <c r="T3" i="1" s="1"/>
  <c r="U3" i="1" s="1"/>
  <c r="V3" i="1" s="1"/>
  <c r="W3" i="1" s="1"/>
  <c r="X3" i="1" s="1"/>
  <c r="Y3" i="1" s="1"/>
  <c r="Z3" i="1" s="1"/>
  <c r="AA3" i="1" s="1"/>
  <c r="AB3" i="1" s="1"/>
  <c r="AC3" i="1" s="1"/>
  <c r="AD3" i="1" s="1"/>
  <c r="AE3" i="1" s="1"/>
  <c r="AF3" i="1" s="1"/>
  <c r="AG3" i="1" s="1"/>
  <c r="AH3" i="1" s="1"/>
</calcChain>
</file>

<file path=xl/sharedStrings.xml><?xml version="1.0" encoding="utf-8"?>
<sst xmlns="http://schemas.openxmlformats.org/spreadsheetml/2006/main" count="34" uniqueCount="14">
  <si>
    <t>HIẾU</t>
  </si>
  <si>
    <t>UYÊN</t>
  </si>
  <si>
    <t>NGỌC</t>
  </si>
  <si>
    <t>NĂM</t>
  </si>
  <si>
    <t>THÁNG</t>
  </si>
  <si>
    <t>DATE</t>
  </si>
  <si>
    <t>CHECK IN</t>
  </si>
  <si>
    <t>CHECK OUT</t>
  </si>
  <si>
    <t>TOTAL TIME</t>
  </si>
  <si>
    <t>TIME</t>
  </si>
  <si>
    <t>TÂM</t>
  </si>
  <si>
    <t>Total Time</t>
  </si>
  <si>
    <t>NAME</t>
  </si>
  <si>
    <t>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</si>
</sst>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;@"/>
    <numFmt numFmtId="165" formatCode="ddd"/>
    <numFmt numFmtId="166" formatCode="_(* #,##0_);_(* \(#,##0\);_(* &quot;-&quot;??_);_(@_)"/>
    <numFmt numFmtId="167" formatCode="_(&quot;$&quot;* #,##0_);_(&quot;$&quot;* \(#,##0\);_(&quot;$&quot;* &quot;-&quot;??_);_(@_)"/>
  </numFmts>
  <fonts count="6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rgb="FF002060"/>
      <name val="Arial"/>
      <family val="2"/>
      <scheme val="minor"/>
    </font>
    <font>
      <sz val="11"/>
      <name val="Arial"/>
      <family val="2"/>
      <scheme val="minor"/>
    </font>
    <font>
      <sz val="16"/>
      <color theme="1"/>
      <name val="Arial"/>
      <family val="2"/>
      <scheme val="minor"/>
    </font>
    <font>
      <sz val="11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40">
    <xf numFmtId="0" fontId="0" fillId="0" borderId="0" xfId="0"/>
    <xf numFmtId="164" fontId="0" fillId="0" borderId="0" xfId="0" applyNumberFormat="1"/>
    <xf numFmtId="164" fontId="0" fillId="2" borderId="3" xfId="0" applyNumberFormat="1" applyFill="1" applyBorder="1"/>
    <xf numFmtId="165" fontId="0" fillId="2" borderId="5" xfId="0" applyNumberFormat="1" applyFill="1" applyBorder="1"/>
    <xf numFmtId="164" fontId="0" fillId="2" borderId="6" xfId="0" applyNumberFormat="1" applyFill="1" applyBorder="1"/>
    <xf numFmtId="165" fontId="0" fillId="2" borderId="7" xfId="0" applyNumberFormat="1" applyFill="1" applyBorder="1"/>
    <xf numFmtId="0" fontId="0" fillId="0" borderId="1" xfId="0" applyBorder="1"/>
    <xf numFmtId="0" fontId="1" fillId="3" borderId="1" xfId="0" applyFont="1" applyFill="1" applyBorder="1"/>
    <xf numFmtId="0" fontId="0" fillId="4" borderId="1" xfId="0" applyFill="1" applyBorder="1"/>
    <xf numFmtId="20" fontId="0" fillId="0" borderId="0" xfId="0" applyNumberFormat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0" fontId="1" fillId="0" borderId="0" xfId="0" applyFont="1" applyProtection="1">
      <protection locked="0"/>
    </xf>
    <xf numFmtId="15" fontId="0" fillId="0" borderId="0" xfId="0" applyNumberFormat="1"/>
    <xf numFmtId="20" fontId="0" fillId="0" borderId="0" xfId="0" applyNumberFormat="1"/>
    <xf numFmtId="15" fontId="3" fillId="8" borderId="5" xfId="0" applyNumberFormat="1" applyFont="1" applyFill="1" applyBorder="1" applyAlignment="1">
      <alignment horizontal="center" vertical="center"/>
    </xf>
    <xf numFmtId="20" fontId="3" fillId="6" borderId="7" xfId="0" applyNumberFormat="1" applyFont="1" applyFill="1" applyBorder="1" applyAlignment="1">
      <alignment horizontal="center" vertical="center"/>
    </xf>
    <xf numFmtId="20" fontId="3" fillId="7" borderId="7" xfId="0" applyNumberFormat="1" applyFont="1" applyFill="1" applyBorder="1" applyAlignment="1">
      <alignment horizontal="center" vertical="center"/>
    </xf>
    <xf numFmtId="15" fontId="0" fillId="0" borderId="3" xfId="0" applyNumberFormat="1" applyBorder="1"/>
    <xf numFmtId="20" fontId="0" fillId="0" borderId="6" xfId="0" applyNumberFormat="1" applyBorder="1"/>
    <xf numFmtId="20" fontId="0" fillId="0" borderId="2" xfId="0" applyNumberFormat="1" applyBorder="1"/>
    <xf numFmtId="22" fontId="0" fillId="0" borderId="0" xfId="0" applyNumberFormat="1"/>
    <xf numFmtId="20" fontId="3" fillId="3" borderId="4" xfId="0" applyNumberFormat="1" applyFont="1" applyFill="1" applyBorder="1" applyAlignment="1">
      <alignment horizontal="center"/>
    </xf>
    <xf numFmtId="14" fontId="0" fillId="0" borderId="0" xfId="0" applyNumberFormat="1" applyProtection="1">
      <protection locked="0"/>
    </xf>
    <xf numFmtId="14" fontId="0" fillId="0" borderId="0" xfId="0" applyNumberFormat="1"/>
    <xf numFmtId="20" fontId="1" fillId="4" borderId="0" xfId="0" applyNumberFormat="1" applyFont="1" applyFill="1" applyAlignment="1">
      <alignment horizontal="right" vertical="center"/>
    </xf>
    <xf numFmtId="46" fontId="0" fillId="0" borderId="0" xfId="0" applyNumberFormat="1" applyProtection="1">
      <protection locked="0"/>
    </xf>
    <xf numFmtId="166" fontId="0" fillId="0" borderId="0" xfId="1" applyNumberFormat="1" applyFont="1" applyProtection="1">
      <protection locked="0"/>
    </xf>
    <xf numFmtId="2" fontId="4" fillId="4" borderId="0" xfId="0" applyNumberFormat="1" applyFont="1" applyFill="1" applyAlignment="1">
      <alignment horizontal="center" vertical="center"/>
    </xf>
    <xf numFmtId="167" fontId="0" fillId="0" borderId="0" xfId="2" applyNumberFormat="1" applyFont="1"/>
    <xf numFmtId="0" fontId="1" fillId="5" borderId="1" xfId="0" applyFont="1" applyFill="1" applyBorder="1"/>
    <xf numFmtId="49" fontId="1" fillId="5" borderId="1" xfId="0" applyNumberFormat="1" applyFont="1" applyFill="1" applyBorder="1"/>
    <xf numFmtId="49" fontId="0" fillId="0" borderId="0" xfId="0" applyNumberFormat="1"/>
    <xf numFmtId="49" fontId="0" fillId="0" borderId="1" xfId="0" applyNumberFormat="1" applyBorder="1"/>
    <xf numFmtId="6" fontId="0" fillId="0" borderId="1" xfId="0" applyNumberFormat="1" applyBorder="1"/>
    <xf numFmtId="20" fontId="2" fillId="5" borderId="0" xfId="0" applyNumberFormat="1" applyFont="1" applyFill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5" fontId="0" fillId="0" borderId="3" xfId="0" applyNumberFormat="1" applyBorder="1" applyProtection="1"/>
    <xf numFmtId="20" fontId="0" fillId="0" borderId="6" xfId="0" applyNumberFormat="1" applyBorder="1" applyProtection="1"/>
  </cellXfs>
  <cellStyles count="3">
    <cellStyle name="Comma" xfId="1" builtinId="3"/>
    <cellStyle name="Currency" xfId="2" builtinId="4"/>
    <cellStyle name="Normal" xfId="0" builtinId="0"/>
  </cellStyles>
  <dxfs count="33">
    <dxf>
      <numFmt numFmtId="25" formatCode="h:mm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0" formatCode="d\-mmm\-yy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1" hidden="0"/>
    </dxf>
    <dxf>
      <numFmt numFmtId="25" formatCode="h:mm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0" formatCode="d\-mmm\-yy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1" hidden="0"/>
    </dxf>
    <dxf>
      <numFmt numFmtId="25" formatCode="h:mm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20" formatCode="d\-mmm\-yy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protection locked="1" hidden="0"/>
    </dxf>
    <dxf>
      <numFmt numFmtId="25" formatCode="h:mm"/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25" formatCode="h:mm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numFmt numFmtId="20" formatCode="d\-mmm\-yy"/>
      <border diagonalUp="0" diagonalDown="0">
        <left/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  <protection locked="1" hidden="0"/>
    </dxf>
    <dxf>
      <border outline="0"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vertical style="thin">
          <color indexed="64"/>
        </vertical>
      </border>
      <protection locked="1" hidden="0"/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7311</xdr:colOff>
      <xdr:row>2</xdr:row>
      <xdr:rowOff>0</xdr:rowOff>
    </xdr:from>
    <xdr:to>
      <xdr:col>2</xdr:col>
      <xdr:colOff>27215</xdr:colOff>
      <xdr:row>3</xdr:row>
      <xdr:rowOff>1</xdr:rowOff>
    </xdr:to>
    <xdr:sp macro="[0]!check_in_Hieu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23097" y="435429"/>
          <a:ext cx="1026832" cy="190501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2</xdr:col>
      <xdr:colOff>13607</xdr:colOff>
      <xdr:row>2</xdr:row>
      <xdr:rowOff>0</xdr:rowOff>
    </xdr:from>
    <xdr:to>
      <xdr:col>3</xdr:col>
      <xdr:colOff>0</xdr:colOff>
      <xdr:row>3</xdr:row>
      <xdr:rowOff>0</xdr:rowOff>
    </xdr:to>
    <xdr:sp macro="[0]!check_out_Hie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36321" y="435429"/>
          <a:ext cx="993322" cy="190500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14299</xdr:colOff>
      <xdr:row>2</xdr:row>
      <xdr:rowOff>1</xdr:rowOff>
    </xdr:from>
    <xdr:to>
      <xdr:col>7</xdr:col>
      <xdr:colOff>0</xdr:colOff>
      <xdr:row>3</xdr:row>
      <xdr:rowOff>1</xdr:rowOff>
    </xdr:to>
    <xdr:sp macro="[0]!check_in_Uy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429942" y="435430"/>
          <a:ext cx="897379" cy="190500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910257</xdr:colOff>
      <xdr:row>2</xdr:row>
      <xdr:rowOff>5256</xdr:rowOff>
    </xdr:from>
    <xdr:to>
      <xdr:col>7</xdr:col>
      <xdr:colOff>1049405</xdr:colOff>
      <xdr:row>3</xdr:row>
      <xdr:rowOff>0</xdr:rowOff>
    </xdr:to>
    <xdr:sp macro="[0]!check_out_Uy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25900" y="440685"/>
          <a:ext cx="1050826" cy="185244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11</xdr:col>
      <xdr:colOff>14297</xdr:colOff>
      <xdr:row>2</xdr:row>
      <xdr:rowOff>1</xdr:rowOff>
    </xdr:from>
    <xdr:to>
      <xdr:col>11</xdr:col>
      <xdr:colOff>898070</xdr:colOff>
      <xdr:row>3</xdr:row>
      <xdr:rowOff>1</xdr:rowOff>
    </xdr:to>
    <xdr:sp macro="[0]!check_in_Ngoc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9593726" y="435430"/>
          <a:ext cx="883773" cy="190500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11</xdr:col>
      <xdr:colOff>900732</xdr:colOff>
      <xdr:row>2</xdr:row>
      <xdr:rowOff>0</xdr:rowOff>
    </xdr:from>
    <xdr:to>
      <xdr:col>13</xdr:col>
      <xdr:colOff>13607</xdr:colOff>
      <xdr:row>3</xdr:row>
      <xdr:rowOff>0</xdr:rowOff>
    </xdr:to>
    <xdr:sp macro="[0]!check_out_Ngoc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0480161" y="435429"/>
          <a:ext cx="1072303" cy="190500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16</xdr:col>
      <xdr:colOff>12784</xdr:colOff>
      <xdr:row>2</xdr:row>
      <xdr:rowOff>2135</xdr:rowOff>
    </xdr:from>
    <xdr:to>
      <xdr:col>16</xdr:col>
      <xdr:colOff>952504</xdr:colOff>
      <xdr:row>2</xdr:row>
      <xdr:rowOff>190438</xdr:rowOff>
    </xdr:to>
    <xdr:sp macro="[0]!check_in_Tam" textlink="">
      <xdr:nvSpPr>
        <xdr:cNvPr id="4" name="Rectangle 3">
          <a:extLst>
            <a:ext uri="{FF2B5EF4-FFF2-40B4-BE49-F238E27FC236}">
              <a16:creationId xmlns:a16="http://schemas.microsoft.com/office/drawing/2014/main" id="{B84C180D-6F0E-4621-AC19-4BB142CC27C4}"/>
            </a:ext>
          </a:extLst>
        </xdr:cNvPr>
        <xdr:cNvSpPr/>
      </xdr:nvSpPr>
      <xdr:spPr>
        <a:xfrm>
          <a:off x="13687963" y="433028"/>
          <a:ext cx="939720" cy="192839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17</xdr:col>
      <xdr:colOff>4</xdr:colOff>
      <xdr:row>2</xdr:row>
      <xdr:rowOff>11206</xdr:rowOff>
    </xdr:from>
    <xdr:to>
      <xdr:col>18</xdr:col>
      <xdr:colOff>0</xdr:colOff>
      <xdr:row>2</xdr:row>
      <xdr:rowOff>185237</xdr:rowOff>
    </xdr:to>
    <xdr:sp macro="[0]!check_out_Tam" textlink="">
      <xdr:nvSpPr>
        <xdr:cNvPr id="5" name="Rectangle 4">
          <a:extLst>
            <a:ext uri="{FF2B5EF4-FFF2-40B4-BE49-F238E27FC236}">
              <a16:creationId xmlns:a16="http://schemas.microsoft.com/office/drawing/2014/main" id="{1685CCA3-AA78-461F-8106-883AD05CCEF5}"/>
            </a:ext>
          </a:extLst>
        </xdr:cNvPr>
        <xdr:cNvSpPr/>
      </xdr:nvSpPr>
      <xdr:spPr>
        <a:xfrm>
          <a:off x="14641290" y="446635"/>
          <a:ext cx="1102174" cy="174031"/>
        </a:xfrm>
        <a:prstGeom prst="rect">
          <a:avLst/>
        </a:prstGeom>
        <a:solidFill>
          <a:schemeClr val="accent2">
            <a:lumMod val="20000"/>
            <a:lumOff val="80000"/>
            <a:alpha val="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D20" totalsRowShown="0" headerRowDxfId="32" dataDxfId="30" headerRowBorderDxfId="31" tableBorderDxfId="29" totalsRowBorderDxfId="28">
  <autoFilter ref="A3:D20" xr:uid="{00000000-0009-0000-0100-000001000000}"/>
  <tableColumns count="4">
    <tableColumn id="1" xr3:uid="{00000000-0010-0000-0000-000001000000}" name="DATE" dataDxfId="27"/>
    <tableColumn id="2" xr3:uid="{00000000-0010-0000-0000-000002000000}" name="CHECK IN" dataDxfId="26"/>
    <tableColumn id="3" xr3:uid="{00000000-0010-0000-0000-000003000000}" name="CHECK OUT" dataDxfId="25"/>
    <tableColumn id="4" xr3:uid="{00000000-0010-0000-0000-000004000000}" name="TIME" dataDxfId="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14" displayName="Table14" ref="F3:I10" totalsRowShown="0" headerRowDxfId="23" headerRowBorderDxfId="22" tableBorderDxfId="21" totalsRowBorderDxfId="20">
  <autoFilter ref="F3:I10" xr:uid="{00000000-0009-0000-0100-000003000000}"/>
  <tableColumns count="4">
    <tableColumn id="1" xr3:uid="{00000000-0010-0000-0100-000001000000}" name="DATE" dataDxfId="19"/>
    <tableColumn id="2" xr3:uid="{00000000-0010-0000-0100-000002000000}" name="CHECK IN" dataDxfId="18"/>
    <tableColumn id="3" xr3:uid="{00000000-0010-0000-0100-000003000000}" name="CHECK OUT" dataDxfId="17"/>
    <tableColumn id="4" xr3:uid="{00000000-0010-0000-0100-000004000000}" name="TIME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15" displayName="Table15" ref="K3:N17" totalsRowShown="0" headerRowDxfId="15" headerRowBorderDxfId="14" tableBorderDxfId="13" totalsRowBorderDxfId="12">
  <autoFilter ref="K3:N17" xr:uid="{00000000-0009-0000-0100-000004000000}"/>
  <tableColumns count="4">
    <tableColumn id="1" xr3:uid="{00000000-0010-0000-0200-000001000000}" name="DATE" dataDxfId="11"/>
    <tableColumn id="2" xr3:uid="{00000000-0010-0000-0200-000002000000}" name="CHECK IN" dataDxfId="10"/>
    <tableColumn id="3" xr3:uid="{00000000-0010-0000-0200-000003000000}" name="CHECK OUT" dataDxfId="9"/>
    <tableColumn id="4" xr3:uid="{00000000-0010-0000-0200-000004000000}" name="TIME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ACE7BE-8BA2-40D2-A5C1-EA8B127D54CF}" name="Table143" displayName="Table143" ref="P3:S5" totalsRowShown="0" headerRowDxfId="7" headerRowBorderDxfId="6" tableBorderDxfId="5" totalsRowBorderDxfId="4">
  <autoFilter ref="P3:S5" xr:uid="{44ACE7BE-8BA2-40D2-A5C1-EA8B127D54CF}"/>
  <tableColumns count="4">
    <tableColumn id="1" xr3:uid="{132EADEA-7FEA-42FE-BEA5-41C62E8FF66F}" name="DATE" dataDxfId="3"/>
    <tableColumn id="2" xr3:uid="{599E307F-B65A-475F-A832-76CC8E316976}" name="CHECK IN" dataDxfId="2"/>
    <tableColumn id="3" xr3:uid="{A76322C0-3315-4BB6-8E2E-713C7EEF7612}" name="CHECK OUT" dataDxfId="1"/>
    <tableColumn id="4" xr3:uid="{E8A6307E-B278-49EA-A482-33A251FDA5A9}" name="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0"/>
  <sheetViews>
    <sheetView showGridLines="0" tabSelected="1" zoomScale="70" zoomScaleNormal="70" workbookViewId="0">
      <pane ySplit="3" topLeftCell="A4" activePane="bottomLeft" state="frozen"/>
      <selection pane="bottomLeft" activeCell="H21" sqref="H21"/>
    </sheetView>
  </sheetViews>
  <sheetFormatPr defaultColWidth="8.875" defaultRowHeight="14.25" x14ac:dyDescent="0.2"/>
  <cols>
    <col min="1" max="1" width="14.625" style="13" bestFit="1" customWidth="1"/>
    <col min="2" max="2" width="13.125" style="14" customWidth="1"/>
    <col min="3" max="3" width="13.25" style="14" customWidth="1"/>
    <col min="4" max="4" width="13.5" style="14" bestFit="1" customWidth="1"/>
    <col min="5" max="5" width="1.75" style="10" customWidth="1"/>
    <col min="6" max="6" width="14.625" style="13" bestFit="1" customWidth="1"/>
    <col min="7" max="7" width="12" style="14" customWidth="1"/>
    <col min="8" max="8" width="13.875" style="14" customWidth="1"/>
    <col min="9" max="9" width="12.625" style="14" customWidth="1"/>
    <col min="10" max="10" width="1.5" style="10" customWidth="1"/>
    <col min="11" max="11" width="14.625" style="13" bestFit="1" customWidth="1"/>
    <col min="12" max="12" width="11.875" style="14" customWidth="1"/>
    <col min="13" max="13" width="13.75" style="14" customWidth="1"/>
    <col min="14" max="14" width="13" style="14" customWidth="1"/>
    <col min="15" max="15" width="1.75" style="10" customWidth="1"/>
    <col min="16" max="16" width="13.25" style="10" customWidth="1"/>
    <col min="17" max="17" width="12.625" style="10" customWidth="1"/>
    <col min="18" max="18" width="14.5" style="10" customWidth="1"/>
    <col min="19" max="19" width="15.25" style="10" customWidth="1"/>
    <col min="20" max="20" width="12.625" style="10" bestFit="1" customWidth="1"/>
    <col min="21" max="23" width="8.875" style="10"/>
    <col min="24" max="24" width="14.875" style="10" hidden="1" customWidth="1"/>
    <col min="25" max="16384" width="8.875" style="10"/>
  </cols>
  <sheetData>
    <row r="1" spans="1:24" x14ac:dyDescent="0.2">
      <c r="A1" s="29"/>
      <c r="B1" s="29"/>
      <c r="F1" s="21"/>
      <c r="K1" s="21"/>
      <c r="X1" s="11">
        <f ca="1">NOW()</f>
        <v>45815.443992129629</v>
      </c>
    </row>
    <row r="2" spans="1:24" ht="20.25" x14ac:dyDescent="0.3">
      <c r="A2" s="35" t="s">
        <v>0</v>
      </c>
      <c r="B2" s="35"/>
      <c r="C2" s="25" t="s">
        <v>8</v>
      </c>
      <c r="D2" s="28">
        <f>SUM(Table1[TIME])*24</f>
        <v>104.45311388827344</v>
      </c>
      <c r="F2" s="35" t="s">
        <v>1</v>
      </c>
      <c r="G2" s="35"/>
      <c r="H2" s="25" t="s">
        <v>8</v>
      </c>
      <c r="I2" s="28">
        <f>SUM(Table14[TIME])*24</f>
        <v>18.438827777747065</v>
      </c>
      <c r="K2" s="35" t="s">
        <v>2</v>
      </c>
      <c r="L2" s="35"/>
      <c r="M2" s="25" t="s">
        <v>8</v>
      </c>
      <c r="N2" s="28">
        <f>SUM(Table15[TIME])*24</f>
        <v>106.359297222225</v>
      </c>
      <c r="P2" s="35" t="s">
        <v>10</v>
      </c>
      <c r="Q2" s="35"/>
      <c r="R2" s="25" t="s">
        <v>8</v>
      </c>
      <c r="S2" s="28">
        <f>SUM(Table143[TIME])*24</f>
        <v>6.6313638888532296</v>
      </c>
      <c r="X2" s="23">
        <f ca="1">TODAY()</f>
        <v>45815</v>
      </c>
    </row>
    <row r="3" spans="1:24" ht="15" x14ac:dyDescent="0.25">
      <c r="A3" s="15" t="s">
        <v>5</v>
      </c>
      <c r="B3" s="16" t="s">
        <v>6</v>
      </c>
      <c r="C3" s="17" t="s">
        <v>7</v>
      </c>
      <c r="D3" s="22" t="s">
        <v>9</v>
      </c>
      <c r="E3" s="12"/>
      <c r="F3" s="15" t="s">
        <v>5</v>
      </c>
      <c r="G3" s="16" t="s">
        <v>6</v>
      </c>
      <c r="H3" s="17" t="s">
        <v>7</v>
      </c>
      <c r="I3" s="22" t="s">
        <v>9</v>
      </c>
      <c r="K3" s="15" t="s">
        <v>5</v>
      </c>
      <c r="L3" s="16" t="s">
        <v>6</v>
      </c>
      <c r="M3" s="17" t="s">
        <v>7</v>
      </c>
      <c r="N3" s="22" t="s">
        <v>9</v>
      </c>
      <c r="P3" s="15" t="s">
        <v>5</v>
      </c>
      <c r="Q3" s="16" t="s">
        <v>6</v>
      </c>
      <c r="R3" s="17" t="s">
        <v>7</v>
      </c>
      <c r="S3" s="22" t="s">
        <v>9</v>
      </c>
    </row>
    <row r="4" spans="1:24" x14ac:dyDescent="0.2">
      <c r="A4" s="18">
        <v>45798</v>
      </c>
      <c r="B4" s="19">
        <v>45798.943098958334</v>
      </c>
      <c r="C4" s="19">
        <v>45798.943099421296</v>
      </c>
      <c r="D4" s="20">
        <v>4.6296190703287721E-7</v>
      </c>
      <c r="E4" s="9"/>
      <c r="F4" s="18">
        <v>45798</v>
      </c>
      <c r="G4" s="19">
        <v>45798.943054282405</v>
      </c>
      <c r="H4" s="19">
        <v>45798.943054629628</v>
      </c>
      <c r="I4" s="20">
        <v>3.4722324926406145E-7</v>
      </c>
      <c r="K4" s="18">
        <v>45798</v>
      </c>
      <c r="L4" s="19">
        <v>45798.943077662036</v>
      </c>
      <c r="M4" s="19">
        <v>45798.943078009259</v>
      </c>
      <c r="N4" s="20">
        <v>3.4722324926406145E-7</v>
      </c>
      <c r="P4" s="18">
        <v>45803</v>
      </c>
      <c r="Q4" s="19">
        <v>45803.547670486114</v>
      </c>
      <c r="R4" s="19">
        <v>45803.54767083333</v>
      </c>
      <c r="S4" s="20">
        <v>3.4721597330644727E-7</v>
      </c>
    </row>
    <row r="5" spans="1:24" x14ac:dyDescent="0.2">
      <c r="A5" s="18">
        <v>45799</v>
      </c>
      <c r="B5" s="19">
        <v>45799.229409722226</v>
      </c>
      <c r="C5" s="19">
        <v>45799.715175115743</v>
      </c>
      <c r="D5" s="20">
        <v>0.48576539351779502</v>
      </c>
      <c r="F5" s="18">
        <v>45799</v>
      </c>
      <c r="G5" s="19">
        <v>45799.734820717589</v>
      </c>
      <c r="H5" s="19">
        <v>45799.886810300923</v>
      </c>
      <c r="I5" s="20">
        <v>0.15198958333348855</v>
      </c>
      <c r="K5" s="18">
        <v>45799</v>
      </c>
      <c r="L5" s="19">
        <v>45799.450714351849</v>
      </c>
      <c r="M5" s="19">
        <v>45799.849905787036</v>
      </c>
      <c r="N5" s="20">
        <v>0.39919143518636702</v>
      </c>
      <c r="P5" s="18">
        <v>45804</v>
      </c>
      <c r="Q5" s="19">
        <v>45804.461677893516</v>
      </c>
      <c r="R5" s="19">
        <v>45804.737984375002</v>
      </c>
      <c r="S5" s="20">
        <v>0.27630648148624459</v>
      </c>
    </row>
    <row r="6" spans="1:24" x14ac:dyDescent="0.2">
      <c r="A6" s="18">
        <v>45800</v>
      </c>
      <c r="B6" s="19">
        <v>45800.234918981485</v>
      </c>
      <c r="C6" s="19">
        <v>45800.461401736109</v>
      </c>
      <c r="D6" s="20">
        <v>0.22648275462415768</v>
      </c>
      <c r="F6" s="18">
        <v>45803</v>
      </c>
      <c r="G6" s="19">
        <v>45803.752813657411</v>
      </c>
      <c r="H6" s="19">
        <v>45803.852723958335</v>
      </c>
      <c r="I6" s="20">
        <v>9.9910300923511386E-2</v>
      </c>
      <c r="K6" s="18">
        <v>45800</v>
      </c>
      <c r="L6" s="19">
        <v>45800.461401504632</v>
      </c>
      <c r="M6" s="19">
        <v>45800.887076967592</v>
      </c>
      <c r="N6" s="20">
        <v>0.42567546296049841</v>
      </c>
    </row>
    <row r="7" spans="1:24" x14ac:dyDescent="0.2">
      <c r="A7" s="18">
        <v>45801</v>
      </c>
      <c r="B7" s="19">
        <v>45801.236504629633</v>
      </c>
      <c r="C7" s="19">
        <v>45801.528298611112</v>
      </c>
      <c r="D7" s="20">
        <v>0.29526620370370371</v>
      </c>
      <c r="F7" s="18">
        <v>45804</v>
      </c>
      <c r="G7" s="19">
        <v>45804.732521412036</v>
      </c>
      <c r="H7" s="19">
        <v>45804.914993055558</v>
      </c>
      <c r="I7" s="20">
        <v>0.18247164352214895</v>
      </c>
      <c r="K7" s="18">
        <v>45801</v>
      </c>
      <c r="L7" s="19">
        <v>45801.448435069447</v>
      </c>
      <c r="M7" s="19">
        <v>45801.921453356481</v>
      </c>
      <c r="N7" s="20">
        <v>0.47301828703348292</v>
      </c>
    </row>
    <row r="8" spans="1:24" x14ac:dyDescent="0.2">
      <c r="A8" s="18">
        <v>45802</v>
      </c>
      <c r="B8" s="19">
        <v>45802.233275462961</v>
      </c>
      <c r="C8" s="19">
        <v>45802.451268287034</v>
      </c>
      <c r="D8" s="20">
        <v>0.2179928240730078</v>
      </c>
      <c r="F8" s="18">
        <v>45805</v>
      </c>
      <c r="G8" s="19">
        <v>45805.733578240739</v>
      </c>
      <c r="H8" s="19">
        <v>45805.780100694443</v>
      </c>
      <c r="I8" s="20">
        <v>4.6522453703801148E-2</v>
      </c>
      <c r="K8" s="18">
        <v>45802</v>
      </c>
      <c r="L8" s="19">
        <v>45802.564749074074</v>
      </c>
      <c r="M8" s="19">
        <v>45802.9430931713</v>
      </c>
      <c r="N8" s="20">
        <v>0.37834409722563578</v>
      </c>
    </row>
    <row r="9" spans="1:24" x14ac:dyDescent="0.2">
      <c r="A9" s="18">
        <v>45803</v>
      </c>
      <c r="B9" s="19">
        <v>45803.235555555555</v>
      </c>
      <c r="C9" s="19">
        <v>45803.65453738426</v>
      </c>
      <c r="D9" s="20">
        <v>0.41898182870500023</v>
      </c>
      <c r="F9" s="18">
        <v>45811</v>
      </c>
      <c r="G9" s="19">
        <v>45811.734205092594</v>
      </c>
      <c r="H9" s="19">
        <v>45811.895452777775</v>
      </c>
      <c r="I9" s="20">
        <v>0.16124768518056953</v>
      </c>
      <c r="K9" s="18">
        <v>45803</v>
      </c>
      <c r="L9" s="19">
        <v>45803.461979282409</v>
      </c>
      <c r="M9" s="19">
        <v>45803.852544212961</v>
      </c>
      <c r="N9" s="20">
        <v>0.3905649305525003</v>
      </c>
    </row>
    <row r="10" spans="1:24" x14ac:dyDescent="0.2">
      <c r="A10" s="18">
        <v>45804</v>
      </c>
      <c r="B10" s="19">
        <v>45804.235775462963</v>
      </c>
      <c r="C10" s="19">
        <v>45805.535115740742</v>
      </c>
      <c r="D10" s="20">
        <v>0.29934027777777777</v>
      </c>
      <c r="F10" s="18">
        <v>45813</v>
      </c>
      <c r="G10" s="19">
        <v>45813.741423148145</v>
      </c>
      <c r="H10" s="19">
        <v>45813.867565624998</v>
      </c>
      <c r="I10" s="20">
        <v>0.1261424768526922</v>
      </c>
      <c r="K10" s="18">
        <v>45804</v>
      </c>
      <c r="L10" s="19">
        <v>45804.460424421297</v>
      </c>
      <c r="M10" s="19">
        <v>45804.797531828706</v>
      </c>
      <c r="N10" s="20">
        <v>0.33710740740934853</v>
      </c>
    </row>
    <row r="11" spans="1:24" x14ac:dyDescent="0.2">
      <c r="A11" s="18">
        <v>45805</v>
      </c>
      <c r="B11" s="19">
        <v>45805.239398148151</v>
      </c>
      <c r="C11" s="19">
        <v>45805.477263657405</v>
      </c>
      <c r="D11" s="20">
        <v>0.23786550925433403</v>
      </c>
      <c r="K11" s="18">
        <v>45806</v>
      </c>
      <c r="L11" s="19">
        <v>45806.493700810184</v>
      </c>
      <c r="M11" s="19">
        <v>45806.770419444445</v>
      </c>
      <c r="N11" s="20">
        <v>0.27671863426076015</v>
      </c>
    </row>
    <row r="12" spans="1:24" x14ac:dyDescent="0.2">
      <c r="A12" s="18">
        <v>45807</v>
      </c>
      <c r="B12" s="19">
        <v>45807.240979513888</v>
      </c>
      <c r="C12" s="19">
        <v>45807.423501620367</v>
      </c>
      <c r="D12" s="20">
        <v>0.1825221064791549</v>
      </c>
      <c r="K12" s="18">
        <v>45807</v>
      </c>
      <c r="L12" s="19">
        <v>45807.459565046294</v>
      </c>
      <c r="M12" s="19">
        <v>45807.916755439815</v>
      </c>
      <c r="N12" s="20">
        <v>0.45719039352115942</v>
      </c>
    </row>
    <row r="13" spans="1:24" x14ac:dyDescent="0.2">
      <c r="A13" s="18">
        <v>45808</v>
      </c>
      <c r="B13" s="19">
        <v>45808.23505787037</v>
      </c>
      <c r="C13" s="19">
        <v>45808.514885879631</v>
      </c>
      <c r="D13" s="20">
        <v>0.2798280092611094</v>
      </c>
      <c r="K13" s="18">
        <v>45808</v>
      </c>
      <c r="L13" s="19">
        <v>45808.475529398151</v>
      </c>
      <c r="M13" s="19">
        <v>45808.946648379628</v>
      </c>
      <c r="N13" s="20">
        <v>0.47111898147704778</v>
      </c>
      <c r="T13" s="27"/>
    </row>
    <row r="14" spans="1:24" x14ac:dyDescent="0.2">
      <c r="A14" s="18">
        <v>45809</v>
      </c>
      <c r="B14" s="19">
        <v>45809.242228587966</v>
      </c>
      <c r="C14" s="19">
        <v>45809.436516203707</v>
      </c>
      <c r="D14" s="20">
        <v>0.19428900462662568</v>
      </c>
      <c r="K14" s="18">
        <v>45810</v>
      </c>
      <c r="L14" s="19">
        <v>45810.572554282408</v>
      </c>
      <c r="M14" s="19">
        <v>45810.77230960648</v>
      </c>
      <c r="N14" s="20">
        <v>0.19975532407261198</v>
      </c>
      <c r="T14" s="27"/>
    </row>
    <row r="15" spans="1:24" x14ac:dyDescent="0.2">
      <c r="A15" s="18">
        <v>45810</v>
      </c>
      <c r="B15" s="19">
        <v>45810.233888888892</v>
      </c>
      <c r="C15" s="19">
        <v>45810.466218287038</v>
      </c>
      <c r="D15" s="20">
        <v>0.23232939814624842</v>
      </c>
      <c r="E15" s="9"/>
      <c r="K15" s="18">
        <v>45811</v>
      </c>
      <c r="L15" s="19">
        <v>45811.595955324075</v>
      </c>
      <c r="M15" s="19">
        <v>45811.734205555556</v>
      </c>
      <c r="N15" s="20">
        <v>0.13825023148092441</v>
      </c>
    </row>
    <row r="16" spans="1:24" x14ac:dyDescent="0.2">
      <c r="A16" s="18">
        <v>45811</v>
      </c>
      <c r="B16" s="19">
        <v>45800.234918981485</v>
      </c>
      <c r="C16" s="19">
        <v>45800.461401736109</v>
      </c>
      <c r="D16" s="20">
        <v>0.22648275462415768</v>
      </c>
      <c r="K16" s="18">
        <v>45812</v>
      </c>
      <c r="L16" s="19">
        <v>45812.620411342592</v>
      </c>
      <c r="M16" s="19">
        <v>45812.750721064818</v>
      </c>
      <c r="N16" s="20">
        <v>0.1303097222262295</v>
      </c>
    </row>
    <row r="17" spans="1:20" x14ac:dyDescent="0.2">
      <c r="A17" s="18">
        <v>45812</v>
      </c>
      <c r="B17" s="19">
        <v>45802.233275462961</v>
      </c>
      <c r="C17" s="19">
        <v>45812.430256828702</v>
      </c>
      <c r="D17" s="20">
        <v>0.19697916666666668</v>
      </c>
      <c r="K17" s="18">
        <v>45814</v>
      </c>
      <c r="L17" s="19">
        <v>45814.447050810188</v>
      </c>
      <c r="M17" s="19">
        <v>45814.801442939817</v>
      </c>
      <c r="N17" s="20">
        <v>0.35439212962955935</v>
      </c>
    </row>
    <row r="18" spans="1:20" x14ac:dyDescent="0.2">
      <c r="A18" s="18">
        <v>45813</v>
      </c>
      <c r="B18" s="19">
        <v>45813.236157407409</v>
      </c>
      <c r="C18" s="19">
        <v>45813.564916087962</v>
      </c>
      <c r="D18" s="20">
        <v>0.32875868055270985</v>
      </c>
    </row>
    <row r="19" spans="1:20" x14ac:dyDescent="0.2">
      <c r="A19" s="18">
        <v>45814</v>
      </c>
      <c r="B19" s="19">
        <v>45814.235324074078</v>
      </c>
      <c r="C19" s="19">
        <v>45813.557280092595</v>
      </c>
      <c r="D19" s="20">
        <v>0.32251157407407405</v>
      </c>
      <c r="T19" s="26"/>
    </row>
    <row r="20" spans="1:20" x14ac:dyDescent="0.2">
      <c r="A20" s="38">
        <v>45815</v>
      </c>
      <c r="B20" s="19">
        <v>45801.236504629633</v>
      </c>
      <c r="C20" s="39">
        <v>45815.443326157409</v>
      </c>
      <c r="D20" s="20">
        <v>0.20681712962962964</v>
      </c>
    </row>
  </sheetData>
  <sheetProtection sheet="1" objects="1" scenarios="1"/>
  <mergeCells count="4">
    <mergeCell ref="A2:B2"/>
    <mergeCell ref="F2:G2"/>
    <mergeCell ref="K2:L2"/>
    <mergeCell ref="P2:Q2"/>
  </mergeCells>
  <pageMargins left="0.7" right="0.7" top="0.75" bottom="0.75" header="0.3" footer="0.3"/>
  <pageSetup paperSize="0" orientation="portrait" horizontalDpi="203" verticalDpi="203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3642F-9E6A-49CE-A5BE-6D9FFFB86FE5}">
  <sheetPr codeName="Sheet3"/>
  <dimension ref="A2:D24"/>
  <sheetViews>
    <sheetView workbookViewId="0">
      <selection activeCell="F12" sqref="F12"/>
    </sheetView>
  </sheetViews>
  <sheetFormatPr defaultRowHeight="14.25" x14ac:dyDescent="0.2"/>
  <cols>
    <col min="2" max="2" width="25.875" style="32" customWidth="1"/>
    <col min="3" max="3" width="10.25" customWidth="1"/>
  </cols>
  <sheetData>
    <row r="2" spans="1:4" ht="15" x14ac:dyDescent="0.25">
      <c r="A2" s="30" t="s">
        <v>12</v>
      </c>
      <c r="B2" s="31" t="s">
        <v>5</v>
      </c>
      <c r="C2" s="30" t="s">
        <v>11</v>
      </c>
      <c r="D2" s="30" t="s">
        <v>13</v>
      </c>
    </row>
    <row r="3" spans="1:4" x14ac:dyDescent="0.2">
      <c r="A3" s="6"/>
      <c r="B3" s="33"/>
      <c r="C3" s="6"/>
      <c r="D3" s="34"/>
    </row>
    <row r="4" spans="1:4" x14ac:dyDescent="0.2">
      <c r="A4" s="6"/>
      <c r="B4" s="33"/>
      <c r="C4" s="6"/>
      <c r="D4" s="34"/>
    </row>
    <row r="5" spans="1:4" x14ac:dyDescent="0.2">
      <c r="A5" s="6"/>
      <c r="B5" s="33"/>
      <c r="C5" s="6"/>
      <c r="D5" s="34"/>
    </row>
    <row r="6" spans="1:4" x14ac:dyDescent="0.2">
      <c r="A6" s="6"/>
      <c r="B6" s="33"/>
      <c r="C6" s="6"/>
      <c r="D6" s="34"/>
    </row>
    <row r="7" spans="1:4" x14ac:dyDescent="0.2">
      <c r="A7" s="6"/>
      <c r="B7" s="33"/>
      <c r="C7" s="6"/>
      <c r="D7" s="6"/>
    </row>
    <row r="8" spans="1:4" x14ac:dyDescent="0.2">
      <c r="A8" s="6"/>
      <c r="B8" s="33"/>
      <c r="C8" s="6"/>
      <c r="D8" s="6"/>
    </row>
    <row r="9" spans="1:4" x14ac:dyDescent="0.2">
      <c r="A9" s="6"/>
      <c r="B9" s="33"/>
      <c r="C9" s="6"/>
      <c r="D9" s="6"/>
    </row>
    <row r="10" spans="1:4" x14ac:dyDescent="0.2">
      <c r="A10" s="6"/>
      <c r="B10" s="33"/>
      <c r="C10" s="6"/>
      <c r="D10" s="6"/>
    </row>
    <row r="11" spans="1:4" x14ac:dyDescent="0.2">
      <c r="A11" s="6"/>
      <c r="B11" s="33"/>
      <c r="C11" s="6"/>
      <c r="D11" s="6"/>
    </row>
    <row r="12" spans="1:4" x14ac:dyDescent="0.2">
      <c r="A12" s="6"/>
      <c r="B12" s="33"/>
      <c r="C12" s="6"/>
      <c r="D12" s="6"/>
    </row>
    <row r="13" spans="1:4" x14ac:dyDescent="0.2">
      <c r="A13" s="6"/>
      <c r="B13" s="33"/>
      <c r="C13" s="6"/>
      <c r="D13" s="6"/>
    </row>
    <row r="14" spans="1:4" x14ac:dyDescent="0.2">
      <c r="A14" s="6"/>
      <c r="B14" s="33"/>
      <c r="C14" s="6"/>
      <c r="D14" s="6"/>
    </row>
    <row r="15" spans="1:4" x14ac:dyDescent="0.2">
      <c r="A15" s="6"/>
      <c r="B15" s="33"/>
      <c r="C15" s="6"/>
      <c r="D15" s="6"/>
    </row>
    <row r="16" spans="1:4" x14ac:dyDescent="0.2">
      <c r="A16" s="6"/>
      <c r="B16" s="33"/>
      <c r="C16" s="6"/>
      <c r="D16" s="6"/>
    </row>
    <row r="17" spans="1:4" x14ac:dyDescent="0.2">
      <c r="A17" s="6"/>
      <c r="B17" s="33"/>
      <c r="C17" s="6"/>
      <c r="D17" s="6"/>
    </row>
    <row r="18" spans="1:4" x14ac:dyDescent="0.2">
      <c r="A18" s="6"/>
      <c r="B18" s="33"/>
      <c r="C18" s="6"/>
      <c r="D18" s="6"/>
    </row>
    <row r="19" spans="1:4" x14ac:dyDescent="0.2">
      <c r="A19" s="6"/>
      <c r="B19" s="33"/>
      <c r="C19" s="6"/>
      <c r="D19" s="6"/>
    </row>
    <row r="20" spans="1:4" x14ac:dyDescent="0.2">
      <c r="A20" s="6"/>
      <c r="B20" s="33"/>
      <c r="C20" s="6"/>
      <c r="D20" s="6"/>
    </row>
    <row r="21" spans="1:4" x14ac:dyDescent="0.2">
      <c r="A21" s="6"/>
      <c r="B21" s="33"/>
      <c r="C21" s="6"/>
      <c r="D21" s="6"/>
    </row>
    <row r="22" spans="1:4" x14ac:dyDescent="0.2">
      <c r="A22" s="6"/>
      <c r="B22" s="33"/>
      <c r="C22" s="6"/>
      <c r="D22" s="6"/>
    </row>
    <row r="23" spans="1:4" x14ac:dyDescent="0.2">
      <c r="A23" s="6"/>
      <c r="B23" s="33"/>
      <c r="C23" s="6"/>
      <c r="D23" s="6"/>
    </row>
    <row r="24" spans="1:4" x14ac:dyDescent="0.2">
      <c r="A24" s="6"/>
      <c r="B24" s="33"/>
      <c r="C24" s="6"/>
      <c r="D2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26"/>
  <sheetViews>
    <sheetView zoomScale="70" zoomScaleNormal="70" workbookViewId="0">
      <selection activeCell="C3" sqref="C3:C4"/>
    </sheetView>
  </sheetViews>
  <sheetFormatPr defaultRowHeight="14.25" x14ac:dyDescent="0.2"/>
  <cols>
    <col min="4" max="4" width="9.5" bestFit="1" customWidth="1"/>
    <col min="21" max="21" width="9.375" bestFit="1" customWidth="1"/>
  </cols>
  <sheetData>
    <row r="1" spans="1:35" x14ac:dyDescent="0.2">
      <c r="A1" s="8" t="s">
        <v>3</v>
      </c>
      <c r="B1" s="8">
        <v>2025</v>
      </c>
    </row>
    <row r="2" spans="1:35" x14ac:dyDescent="0.2">
      <c r="A2" s="8" t="s">
        <v>4</v>
      </c>
      <c r="B2" s="8">
        <v>5</v>
      </c>
    </row>
    <row r="3" spans="1:35" x14ac:dyDescent="0.2">
      <c r="C3" s="36" t="s">
        <v>5</v>
      </c>
      <c r="D3" s="4">
        <f>DATE($B$1,$B$2,1)</f>
        <v>45778</v>
      </c>
      <c r="E3" s="4">
        <f>D3+1</f>
        <v>45779</v>
      </c>
      <c r="F3" s="4">
        <f t="shared" ref="F3:AH3" si="0">E3+1</f>
        <v>45780</v>
      </c>
      <c r="G3" s="4">
        <f t="shared" si="0"/>
        <v>45781</v>
      </c>
      <c r="H3" s="4">
        <f t="shared" si="0"/>
        <v>45782</v>
      </c>
      <c r="I3" s="4">
        <f t="shared" si="0"/>
        <v>45783</v>
      </c>
      <c r="J3" s="4">
        <f t="shared" si="0"/>
        <v>45784</v>
      </c>
      <c r="K3" s="4">
        <f t="shared" si="0"/>
        <v>45785</v>
      </c>
      <c r="L3" s="4">
        <f t="shared" si="0"/>
        <v>45786</v>
      </c>
      <c r="M3" s="4">
        <f t="shared" si="0"/>
        <v>45787</v>
      </c>
      <c r="N3" s="4">
        <f t="shared" si="0"/>
        <v>45788</v>
      </c>
      <c r="O3" s="4">
        <f t="shared" si="0"/>
        <v>45789</v>
      </c>
      <c r="P3" s="4">
        <f t="shared" si="0"/>
        <v>45790</v>
      </c>
      <c r="Q3" s="4">
        <f t="shared" si="0"/>
        <v>45791</v>
      </c>
      <c r="R3" s="4">
        <f t="shared" si="0"/>
        <v>45792</v>
      </c>
      <c r="S3" s="4">
        <f t="shared" si="0"/>
        <v>45793</v>
      </c>
      <c r="T3" s="4">
        <f t="shared" si="0"/>
        <v>45794</v>
      </c>
      <c r="U3" s="4">
        <f t="shared" si="0"/>
        <v>45795</v>
      </c>
      <c r="V3" s="4">
        <f t="shared" si="0"/>
        <v>45796</v>
      </c>
      <c r="W3" s="4">
        <f t="shared" si="0"/>
        <v>45797</v>
      </c>
      <c r="X3" s="4">
        <f t="shared" si="0"/>
        <v>45798</v>
      </c>
      <c r="Y3" s="4">
        <f t="shared" si="0"/>
        <v>45799</v>
      </c>
      <c r="Z3" s="4">
        <f t="shared" si="0"/>
        <v>45800</v>
      </c>
      <c r="AA3" s="4">
        <f t="shared" si="0"/>
        <v>45801</v>
      </c>
      <c r="AB3" s="4">
        <f t="shared" si="0"/>
        <v>45802</v>
      </c>
      <c r="AC3" s="4">
        <f t="shared" si="0"/>
        <v>45803</v>
      </c>
      <c r="AD3" s="4">
        <f t="shared" si="0"/>
        <v>45804</v>
      </c>
      <c r="AE3" s="4">
        <f t="shared" si="0"/>
        <v>45805</v>
      </c>
      <c r="AF3" s="4">
        <f t="shared" si="0"/>
        <v>45806</v>
      </c>
      <c r="AG3" s="4">
        <f t="shared" si="0"/>
        <v>45807</v>
      </c>
      <c r="AH3" s="2">
        <f t="shared" si="0"/>
        <v>45808</v>
      </c>
      <c r="AI3" s="1"/>
    </row>
    <row r="4" spans="1:35" x14ac:dyDescent="0.2">
      <c r="C4" s="37"/>
      <c r="D4" s="5">
        <f>DATE($B$1,$B$2,1)</f>
        <v>45778</v>
      </c>
      <c r="E4" s="5">
        <f>D4+1</f>
        <v>45779</v>
      </c>
      <c r="F4" s="5">
        <f t="shared" ref="F4:AH4" si="1">E4+1</f>
        <v>45780</v>
      </c>
      <c r="G4" s="5">
        <f t="shared" si="1"/>
        <v>45781</v>
      </c>
      <c r="H4" s="5">
        <f t="shared" si="1"/>
        <v>45782</v>
      </c>
      <c r="I4" s="5">
        <f t="shared" si="1"/>
        <v>45783</v>
      </c>
      <c r="J4" s="5">
        <f t="shared" si="1"/>
        <v>45784</v>
      </c>
      <c r="K4" s="5">
        <f t="shared" si="1"/>
        <v>45785</v>
      </c>
      <c r="L4" s="5">
        <f t="shared" si="1"/>
        <v>45786</v>
      </c>
      <c r="M4" s="5">
        <f t="shared" si="1"/>
        <v>45787</v>
      </c>
      <c r="N4" s="5">
        <f t="shared" si="1"/>
        <v>45788</v>
      </c>
      <c r="O4" s="5">
        <f t="shared" si="1"/>
        <v>45789</v>
      </c>
      <c r="P4" s="5">
        <f t="shared" si="1"/>
        <v>45790</v>
      </c>
      <c r="Q4" s="5">
        <f t="shared" si="1"/>
        <v>45791</v>
      </c>
      <c r="R4" s="5">
        <f t="shared" si="1"/>
        <v>45792</v>
      </c>
      <c r="S4" s="5">
        <f t="shared" si="1"/>
        <v>45793</v>
      </c>
      <c r="T4" s="5">
        <f t="shared" si="1"/>
        <v>45794</v>
      </c>
      <c r="U4" s="5">
        <f t="shared" si="1"/>
        <v>45795</v>
      </c>
      <c r="V4" s="5">
        <f t="shared" si="1"/>
        <v>45796</v>
      </c>
      <c r="W4" s="5">
        <f t="shared" si="1"/>
        <v>45797</v>
      </c>
      <c r="X4" s="5">
        <f t="shared" si="1"/>
        <v>45798</v>
      </c>
      <c r="Y4" s="5">
        <f t="shared" si="1"/>
        <v>45799</v>
      </c>
      <c r="Z4" s="5">
        <f t="shared" si="1"/>
        <v>45800</v>
      </c>
      <c r="AA4" s="5">
        <f t="shared" si="1"/>
        <v>45801</v>
      </c>
      <c r="AB4" s="5">
        <f t="shared" si="1"/>
        <v>45802</v>
      </c>
      <c r="AC4" s="5">
        <f t="shared" si="1"/>
        <v>45803</v>
      </c>
      <c r="AD4" s="5">
        <f t="shared" si="1"/>
        <v>45804</v>
      </c>
      <c r="AE4" s="5">
        <f t="shared" si="1"/>
        <v>45805</v>
      </c>
      <c r="AF4" s="5">
        <f t="shared" si="1"/>
        <v>45806</v>
      </c>
      <c r="AG4" s="5">
        <f t="shared" si="1"/>
        <v>45807</v>
      </c>
      <c r="AH4" s="3">
        <f t="shared" si="1"/>
        <v>45808</v>
      </c>
    </row>
    <row r="5" spans="1:35" ht="15" x14ac:dyDescent="0.25">
      <c r="C5" s="7" t="s">
        <v>0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</row>
    <row r="6" spans="1:35" ht="15" x14ac:dyDescent="0.25">
      <c r="C6" s="7" t="s">
        <v>1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</row>
    <row r="7" spans="1:35" ht="15" x14ac:dyDescent="0.25">
      <c r="C7" s="7" t="s">
        <v>2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</row>
    <row r="26" spans="21:21" x14ac:dyDescent="0.2">
      <c r="U26" s="24"/>
    </row>
  </sheetData>
  <mergeCells count="1">
    <mergeCell ref="C3:C4"/>
  </mergeCells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CHECK_IO</vt:lpstr>
      <vt:lpstr>TRA LUONG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Asus</cp:lastModifiedBy>
  <dcterms:created xsi:type="dcterms:W3CDTF">2025-05-11T07:15:53Z</dcterms:created>
  <dcterms:modified xsi:type="dcterms:W3CDTF">2025-06-07T03:39:33Z</dcterms:modified>
</cp:coreProperties>
</file>