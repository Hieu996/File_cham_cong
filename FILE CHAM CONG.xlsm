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1496" windowHeight="9300" tabRatio="14"/>
  </bookViews>
  <sheets>
    <sheet name="CHECK_IO" sheetId="2" r:id="rId1"/>
    <sheet name="Sheet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I2" i="2"/>
  <c r="D2" i="2"/>
  <c r="S2" i="2" l="1"/>
  <c r="S1" i="2" l="1"/>
  <c r="D4" i="1" l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D3" i="1"/>
  <c r="E3" i="1" s="1"/>
  <c r="F3" i="1" s="1"/>
  <c r="G3" i="1" s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</calcChain>
</file>

<file path=xl/sharedStrings.xml><?xml version="1.0" encoding="utf-8"?>
<sst xmlns="http://schemas.openxmlformats.org/spreadsheetml/2006/main" count="24" uniqueCount="10">
  <si>
    <t>HIẾU</t>
  </si>
  <si>
    <t>UYÊN</t>
  </si>
  <si>
    <t>NGỌC</t>
  </si>
  <si>
    <t>NĂM</t>
  </si>
  <si>
    <t>THÁNG</t>
  </si>
  <si>
    <t>DATE</t>
  </si>
  <si>
    <t>CHECK IN</t>
  </si>
  <si>
    <t>CHECK OUT</t>
  </si>
  <si>
    <t>TOTAL TIME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</si>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</sst>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;@"/>
    <numFmt numFmtId="165" formatCode="d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64" fontId="0" fillId="0" borderId="0" xfId="0" applyNumberFormat="1"/>
    <xf numFmtId="164" fontId="0" fillId="2" borderId="3" xfId="0" applyNumberFormat="1" applyFill="1" applyBorder="1"/>
    <xf numFmtId="165" fontId="0" fillId="2" borderId="5" xfId="0" applyNumberFormat="1" applyFill="1" applyBorder="1"/>
    <xf numFmtId="164" fontId="0" fillId="2" borderId="6" xfId="0" applyNumberFormat="1" applyFill="1" applyBorder="1"/>
    <xf numFmtId="165" fontId="0" fillId="2" borderId="7" xfId="0" applyNumberFormat="1" applyFill="1" applyBorder="1"/>
    <xf numFmtId="0" fontId="0" fillId="0" borderId="1" xfId="0" applyBorder="1"/>
    <xf numFmtId="0" fontId="1" fillId="3" borderId="1" xfId="0" applyFont="1" applyFill="1" applyBorder="1"/>
    <xf numFmtId="0" fontId="0" fillId="4" borderId="1" xfId="0" applyFill="1" applyBorder="1"/>
    <xf numFmtId="20" fontId="0" fillId="0" borderId="0" xfId="0" applyNumberFormat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15" fontId="0" fillId="0" borderId="0" xfId="0" applyNumberFormat="1" applyProtection="1"/>
    <xf numFmtId="20" fontId="0" fillId="0" borderId="0" xfId="0" applyNumberFormat="1" applyProtection="1"/>
    <xf numFmtId="15" fontId="3" fillId="8" borderId="5" xfId="0" applyNumberFormat="1" applyFont="1" applyFill="1" applyBorder="1" applyAlignment="1" applyProtection="1">
      <alignment horizontal="center" vertical="center"/>
    </xf>
    <xf numFmtId="20" fontId="3" fillId="6" borderId="7" xfId="0" applyNumberFormat="1" applyFont="1" applyFill="1" applyBorder="1" applyAlignment="1" applyProtection="1">
      <alignment horizontal="center" vertical="center"/>
    </xf>
    <xf numFmtId="20" fontId="3" fillId="7" borderId="7" xfId="0" applyNumberFormat="1" applyFont="1" applyFill="1" applyBorder="1" applyAlignment="1" applyProtection="1">
      <alignment horizontal="center" vertical="center"/>
    </xf>
    <xf numFmtId="15" fontId="0" fillId="0" borderId="3" xfId="0" applyNumberFormat="1" applyBorder="1" applyProtection="1"/>
    <xf numFmtId="20" fontId="0" fillId="0" borderId="6" xfId="0" applyNumberFormat="1" applyBorder="1" applyProtection="1"/>
    <xf numFmtId="20" fontId="0" fillId="0" borderId="2" xfId="0" applyNumberFormat="1" applyBorder="1" applyProtection="1"/>
    <xf numFmtId="22" fontId="0" fillId="0" borderId="0" xfId="0" applyNumberFormat="1" applyProtection="1"/>
    <xf numFmtId="20" fontId="3" fillId="3" borderId="4" xfId="0" applyNumberFormat="1" applyFont="1" applyFill="1" applyBorder="1" applyAlignment="1" applyProtection="1">
      <alignment horizontal="center"/>
    </xf>
    <xf numFmtId="14" fontId="0" fillId="0" borderId="0" xfId="0" applyNumberFormat="1" applyProtection="1">
      <protection locked="0"/>
    </xf>
    <xf numFmtId="14" fontId="0" fillId="0" borderId="0" xfId="0" applyNumberFormat="1"/>
    <xf numFmtId="20" fontId="1" fillId="4" borderId="0" xfId="0" applyNumberFormat="1" applyFont="1" applyFill="1" applyAlignment="1" applyProtection="1">
      <alignment horizontal="right" vertical="center"/>
    </xf>
    <xf numFmtId="20" fontId="4" fillId="4" borderId="0" xfId="0" applyNumberFormat="1" applyFont="1" applyFill="1" applyAlignment="1" applyProtection="1">
      <alignment horizontal="center" vertical="center"/>
    </xf>
    <xf numFmtId="15" fontId="0" fillId="0" borderId="0" xfId="0" applyNumberFormat="1" applyBorder="1" applyProtection="1"/>
    <xf numFmtId="20" fontId="0" fillId="0" borderId="0" xfId="0" applyNumberFormat="1" applyBorder="1" applyProtection="1"/>
    <xf numFmtId="20" fontId="2" fillId="5" borderId="0" xfId="0" applyNumberFormat="1" applyFont="1" applyFill="1" applyAlignment="1" applyProtection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border outline="0"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vertical style="thin">
          <color indexed="64"/>
        </vertical>
      </border>
      <protection locked="1" hidden="0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7312</xdr:colOff>
      <xdr:row>2</xdr:row>
      <xdr:rowOff>5255</xdr:rowOff>
    </xdr:from>
    <xdr:to>
      <xdr:col>2</xdr:col>
      <xdr:colOff>6626</xdr:colOff>
      <xdr:row>3</xdr:row>
      <xdr:rowOff>0</xdr:rowOff>
    </xdr:to>
    <xdr:sp macro="[0]!check_in_Hieu" textlink="">
      <xdr:nvSpPr>
        <xdr:cNvPr id="2" name="Rectangle 1"/>
        <xdr:cNvSpPr/>
      </xdr:nvSpPr>
      <xdr:spPr>
        <a:xfrm>
          <a:off x="1014477" y="455829"/>
          <a:ext cx="814323" cy="180275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6626</xdr:colOff>
      <xdr:row>2</xdr:row>
      <xdr:rowOff>5256</xdr:rowOff>
    </xdr:from>
    <xdr:to>
      <xdr:col>3</xdr:col>
      <xdr:colOff>6626</xdr:colOff>
      <xdr:row>3</xdr:row>
      <xdr:rowOff>0</xdr:rowOff>
    </xdr:to>
    <xdr:sp macro="[0]!check_out_Hieu" textlink="">
      <xdr:nvSpPr>
        <xdr:cNvPr id="3" name="Rectangle 2"/>
        <xdr:cNvSpPr/>
      </xdr:nvSpPr>
      <xdr:spPr>
        <a:xfrm>
          <a:off x="1828800" y="455830"/>
          <a:ext cx="927652" cy="180274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685</xdr:colOff>
      <xdr:row>2</xdr:row>
      <xdr:rowOff>5255</xdr:rowOff>
    </xdr:from>
    <xdr:to>
      <xdr:col>6</xdr:col>
      <xdr:colOff>815008</xdr:colOff>
      <xdr:row>3</xdr:row>
      <xdr:rowOff>0</xdr:rowOff>
    </xdr:to>
    <xdr:sp macro="[0]!check_in_Uyen" textlink="">
      <xdr:nvSpPr>
        <xdr:cNvPr id="8" name="Rectangle 7"/>
        <xdr:cNvSpPr/>
      </xdr:nvSpPr>
      <xdr:spPr>
        <a:xfrm>
          <a:off x="5434076" y="455829"/>
          <a:ext cx="814323" cy="180275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815007</xdr:colOff>
      <xdr:row>2</xdr:row>
      <xdr:rowOff>5256</xdr:rowOff>
    </xdr:from>
    <xdr:to>
      <xdr:col>7</xdr:col>
      <xdr:colOff>954155</xdr:colOff>
      <xdr:row>3</xdr:row>
      <xdr:rowOff>0</xdr:rowOff>
    </xdr:to>
    <xdr:sp macro="[0]!check_out_Uyen" textlink="">
      <xdr:nvSpPr>
        <xdr:cNvPr id="9" name="Rectangle 8"/>
        <xdr:cNvSpPr/>
      </xdr:nvSpPr>
      <xdr:spPr>
        <a:xfrm>
          <a:off x="6248398" y="455830"/>
          <a:ext cx="960783" cy="180274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11</xdr:col>
      <xdr:colOff>685</xdr:colOff>
      <xdr:row>2</xdr:row>
      <xdr:rowOff>5255</xdr:rowOff>
    </xdr:from>
    <xdr:to>
      <xdr:col>11</xdr:col>
      <xdr:colOff>815008</xdr:colOff>
      <xdr:row>3</xdr:row>
      <xdr:rowOff>0</xdr:rowOff>
    </xdr:to>
    <xdr:sp macro="[0]!check_in_Ngoc" textlink="">
      <xdr:nvSpPr>
        <xdr:cNvPr id="10" name="Rectangle 9"/>
        <xdr:cNvSpPr/>
      </xdr:nvSpPr>
      <xdr:spPr>
        <a:xfrm>
          <a:off x="9694650" y="455829"/>
          <a:ext cx="814323" cy="180275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11</xdr:col>
      <xdr:colOff>815007</xdr:colOff>
      <xdr:row>2</xdr:row>
      <xdr:rowOff>5256</xdr:rowOff>
    </xdr:from>
    <xdr:to>
      <xdr:col>13</xdr:col>
      <xdr:colOff>13251</xdr:colOff>
      <xdr:row>3</xdr:row>
      <xdr:rowOff>0</xdr:rowOff>
    </xdr:to>
    <xdr:sp macro="[0]!check_out_Ngoc" textlink="">
      <xdr:nvSpPr>
        <xdr:cNvPr id="11" name="Rectangle 10"/>
        <xdr:cNvSpPr/>
      </xdr:nvSpPr>
      <xdr:spPr>
        <a:xfrm>
          <a:off x="10508972" y="455830"/>
          <a:ext cx="960783" cy="180274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3:D5" totalsRowShown="0" headerRowDxfId="24" dataDxfId="22" headerRowBorderDxfId="23" tableBorderDxfId="21" totalsRowBorderDxfId="20">
  <autoFilter ref="A3:D5"/>
  <tableColumns count="4">
    <tableColumn id="1" name="DATE" dataDxfId="19"/>
    <tableColumn id="2" name="CHECK IN" dataDxfId="18"/>
    <tableColumn id="3" name="CHECK OUT" dataDxfId="17"/>
    <tableColumn id="4" name="TIME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F3:I4" totalsRowShown="0" headerRowDxfId="15" headerRowBorderDxfId="14" tableBorderDxfId="13" totalsRowBorderDxfId="12">
  <autoFilter ref="F3:I4"/>
  <tableColumns count="4">
    <tableColumn id="1" name="DATE" dataDxfId="11"/>
    <tableColumn id="2" name="CHECK IN" dataDxfId="10"/>
    <tableColumn id="3" name="CHECK OUT" dataDxfId="9"/>
    <tableColumn id="4" name="TIME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15" displayName="Table15" ref="K3:N5" totalsRowShown="0" headerRowDxfId="7" headerRowBorderDxfId="6" tableBorderDxfId="5" totalsRowBorderDxfId="4">
  <autoFilter ref="K3:N5"/>
  <tableColumns count="4">
    <tableColumn id="1" name="DATE" dataDxfId="3"/>
    <tableColumn id="2" name="CHECK IN" dataDxfId="2"/>
    <tableColumn id="3" name="CHECK OUT" dataDxfId="1"/>
    <tableColumn id="4" name="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"/>
  <sheetViews>
    <sheetView showGridLines="0" showRowColHeaders="0" tabSelected="1" zoomScale="115" zoomScaleNormal="115" workbookViewId="0">
      <pane ySplit="3" topLeftCell="A4" activePane="bottomLeft" state="frozen"/>
      <selection pane="bottomLeft" activeCell="K19" sqref="K19"/>
    </sheetView>
  </sheetViews>
  <sheetFormatPr defaultRowHeight="14.4" x14ac:dyDescent="0.3"/>
  <cols>
    <col min="1" max="1" width="14.6640625" style="13" bestFit="1" customWidth="1"/>
    <col min="2" max="2" width="11.88671875" style="14" customWidth="1"/>
    <col min="3" max="3" width="13.5546875" style="14" customWidth="1"/>
    <col min="4" max="4" width="13.44140625" style="14" bestFit="1" customWidth="1"/>
    <col min="5" max="5" width="11" style="10" customWidth="1"/>
    <col min="6" max="6" width="14.6640625" style="13" bestFit="1" customWidth="1"/>
    <col min="7" max="7" width="12" style="14" customWidth="1"/>
    <col min="8" max="8" width="13.88671875" style="14" customWidth="1"/>
    <col min="9" max="9" width="12.6640625" style="14" customWidth="1"/>
    <col min="10" max="10" width="8.88671875" style="10"/>
    <col min="11" max="11" width="14.6640625" style="13" bestFit="1" customWidth="1"/>
    <col min="12" max="12" width="11.88671875" style="14" customWidth="1"/>
    <col min="13" max="13" width="13.77734375" style="14" customWidth="1"/>
    <col min="14" max="14" width="13" style="14" customWidth="1"/>
    <col min="15" max="15" width="8.88671875" style="10" customWidth="1"/>
    <col min="16" max="16" width="10" style="10" customWidth="1"/>
    <col min="17" max="17" width="8.88671875" style="10"/>
    <col min="18" max="18" width="14.6640625" style="10" bestFit="1" customWidth="1"/>
    <col min="19" max="19" width="15.33203125" style="10" hidden="1" customWidth="1"/>
    <col min="20" max="16384" width="8.88671875" style="10"/>
  </cols>
  <sheetData>
    <row r="1" spans="1:19" x14ac:dyDescent="0.3">
      <c r="F1" s="21"/>
      <c r="K1" s="21"/>
      <c r="S1" s="11">
        <f ca="1">NOW()</f>
        <v>45799.545588194444</v>
      </c>
    </row>
    <row r="2" spans="1:19" ht="21" x14ac:dyDescent="0.4">
      <c r="A2" s="29" t="s">
        <v>0</v>
      </c>
      <c r="B2" s="29"/>
      <c r="C2" s="25" t="s">
        <v>8</v>
      </c>
      <c r="D2" s="26">
        <f>SUM(Table1[TIME])</f>
        <v>4.6296190703287721E-7</v>
      </c>
      <c r="F2" s="29" t="s">
        <v>1</v>
      </c>
      <c r="G2" s="29"/>
      <c r="H2" s="25" t="s">
        <v>8</v>
      </c>
      <c r="I2" s="26">
        <f>SUM(Table14[TIME])</f>
        <v>3.4722324926406145E-7</v>
      </c>
      <c r="K2" s="29" t="s">
        <v>2</v>
      </c>
      <c r="L2" s="29"/>
      <c r="M2" s="25" t="s">
        <v>8</v>
      </c>
      <c r="N2" s="26">
        <f>SUM(Table15[TIME])</f>
        <v>3.4722324926406145E-7</v>
      </c>
      <c r="S2" s="23">
        <f ca="1">TODAY()</f>
        <v>45799</v>
      </c>
    </row>
    <row r="3" spans="1:19" x14ac:dyDescent="0.3">
      <c r="A3" s="15" t="s">
        <v>5</v>
      </c>
      <c r="B3" s="16" t="s">
        <v>6</v>
      </c>
      <c r="C3" s="17" t="s">
        <v>7</v>
      </c>
      <c r="D3" s="22" t="s">
        <v>9</v>
      </c>
      <c r="E3" s="12"/>
      <c r="F3" s="15" t="s">
        <v>5</v>
      </c>
      <c r="G3" s="16" t="s">
        <v>6</v>
      </c>
      <c r="H3" s="17" t="s">
        <v>7</v>
      </c>
      <c r="I3" s="22" t="s">
        <v>9</v>
      </c>
      <c r="K3" s="15" t="s">
        <v>5</v>
      </c>
      <c r="L3" s="16" t="s">
        <v>6</v>
      </c>
      <c r="M3" s="17" t="s">
        <v>7</v>
      </c>
      <c r="N3" s="22" t="s">
        <v>9</v>
      </c>
    </row>
    <row r="4" spans="1:19" x14ac:dyDescent="0.3">
      <c r="A4" s="18">
        <v>45798</v>
      </c>
      <c r="B4" s="19">
        <v>45798.943098958334</v>
      </c>
      <c r="C4" s="19">
        <v>45798.943099421296</v>
      </c>
      <c r="D4" s="20">
        <v>4.6296190703287721E-7</v>
      </c>
      <c r="E4" s="9"/>
      <c r="F4" s="18">
        <v>45798</v>
      </c>
      <c r="G4" s="19">
        <v>45798.943054282405</v>
      </c>
      <c r="H4" s="19">
        <v>45798.943054629628</v>
      </c>
      <c r="I4" s="20">
        <v>3.4722324926406145E-7</v>
      </c>
      <c r="K4" s="18">
        <v>45798</v>
      </c>
      <c r="L4" s="19">
        <v>45798.943077662036</v>
      </c>
      <c r="M4" s="19">
        <v>45798.943078009259</v>
      </c>
      <c r="N4" s="20">
        <v>3.4722324926406145E-7</v>
      </c>
    </row>
    <row r="5" spans="1:19" x14ac:dyDescent="0.3">
      <c r="A5" s="18">
        <v>45799</v>
      </c>
      <c r="B5" s="19">
        <v>45799.229409722226</v>
      </c>
      <c r="C5" s="19"/>
      <c r="D5" s="20"/>
      <c r="K5" s="18">
        <v>45799</v>
      </c>
      <c r="L5" s="19">
        <v>45799.450714351849</v>
      </c>
      <c r="M5" s="19"/>
      <c r="N5" s="20"/>
    </row>
    <row r="6" spans="1:19" x14ac:dyDescent="0.3">
      <c r="A6" s="27"/>
      <c r="B6" s="28"/>
      <c r="C6" s="28"/>
      <c r="D6" s="28"/>
    </row>
  </sheetData>
  <sheetProtection sheet="1" objects="1" scenarios="1"/>
  <mergeCells count="3">
    <mergeCell ref="A2:B2"/>
    <mergeCell ref="F2:G2"/>
    <mergeCell ref="K2:L2"/>
  </mergeCells>
  <pageMargins left="0.7" right="0.7" top="0.75" bottom="0.75" header="0.3" footer="0.3"/>
  <pageSetup paperSize="0" orientation="portrait" horizontalDpi="203" verticalDpi="203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26"/>
  <sheetViews>
    <sheetView zoomScale="70" zoomScaleNormal="70" workbookViewId="0">
      <selection activeCell="R32" sqref="R32"/>
    </sheetView>
  </sheetViews>
  <sheetFormatPr defaultRowHeight="14.4" x14ac:dyDescent="0.3"/>
  <cols>
    <col min="4" max="4" width="9.5546875" bestFit="1" customWidth="1"/>
    <col min="21" max="21" width="9.33203125" bestFit="1" customWidth="1"/>
  </cols>
  <sheetData>
    <row r="1" spans="1:35" x14ac:dyDescent="0.3">
      <c r="A1" s="8" t="s">
        <v>3</v>
      </c>
      <c r="B1" s="8">
        <v>2025</v>
      </c>
    </row>
    <row r="2" spans="1:35" x14ac:dyDescent="0.3">
      <c r="A2" s="8" t="s">
        <v>4</v>
      </c>
      <c r="B2" s="8">
        <v>5</v>
      </c>
    </row>
    <row r="3" spans="1:35" x14ac:dyDescent="0.3">
      <c r="C3" s="30" t="s">
        <v>5</v>
      </c>
      <c r="D3" s="4">
        <f>DATE($B$1,$B$2,1)</f>
        <v>45778</v>
      </c>
      <c r="E3" s="4">
        <f>D3+1</f>
        <v>45779</v>
      </c>
      <c r="F3" s="4">
        <f t="shared" ref="F3:AH3" si="0">E3+1</f>
        <v>45780</v>
      </c>
      <c r="G3" s="4">
        <f t="shared" si="0"/>
        <v>45781</v>
      </c>
      <c r="H3" s="4">
        <f t="shared" si="0"/>
        <v>45782</v>
      </c>
      <c r="I3" s="4">
        <f t="shared" si="0"/>
        <v>45783</v>
      </c>
      <c r="J3" s="4">
        <f t="shared" si="0"/>
        <v>45784</v>
      </c>
      <c r="K3" s="4">
        <f t="shared" si="0"/>
        <v>45785</v>
      </c>
      <c r="L3" s="4">
        <f t="shared" si="0"/>
        <v>45786</v>
      </c>
      <c r="M3" s="4">
        <f t="shared" si="0"/>
        <v>45787</v>
      </c>
      <c r="N3" s="4">
        <f t="shared" si="0"/>
        <v>45788</v>
      </c>
      <c r="O3" s="4">
        <f t="shared" si="0"/>
        <v>45789</v>
      </c>
      <c r="P3" s="4">
        <f t="shared" si="0"/>
        <v>45790</v>
      </c>
      <c r="Q3" s="4">
        <f t="shared" si="0"/>
        <v>45791</v>
      </c>
      <c r="R3" s="4">
        <f t="shared" si="0"/>
        <v>45792</v>
      </c>
      <c r="S3" s="4">
        <f t="shared" si="0"/>
        <v>45793</v>
      </c>
      <c r="T3" s="4">
        <f t="shared" si="0"/>
        <v>45794</v>
      </c>
      <c r="U3" s="4">
        <f t="shared" si="0"/>
        <v>45795</v>
      </c>
      <c r="V3" s="4">
        <f t="shared" si="0"/>
        <v>45796</v>
      </c>
      <c r="W3" s="4">
        <f t="shared" si="0"/>
        <v>45797</v>
      </c>
      <c r="X3" s="4">
        <f t="shared" si="0"/>
        <v>45798</v>
      </c>
      <c r="Y3" s="4">
        <f t="shared" si="0"/>
        <v>45799</v>
      </c>
      <c r="Z3" s="4">
        <f t="shared" si="0"/>
        <v>45800</v>
      </c>
      <c r="AA3" s="4">
        <f t="shared" si="0"/>
        <v>45801</v>
      </c>
      <c r="AB3" s="4">
        <f t="shared" si="0"/>
        <v>45802</v>
      </c>
      <c r="AC3" s="4">
        <f t="shared" si="0"/>
        <v>45803</v>
      </c>
      <c r="AD3" s="4">
        <f t="shared" si="0"/>
        <v>45804</v>
      </c>
      <c r="AE3" s="4">
        <f t="shared" si="0"/>
        <v>45805</v>
      </c>
      <c r="AF3" s="4">
        <f t="shared" si="0"/>
        <v>45806</v>
      </c>
      <c r="AG3" s="4">
        <f t="shared" si="0"/>
        <v>45807</v>
      </c>
      <c r="AH3" s="2">
        <f t="shared" si="0"/>
        <v>45808</v>
      </c>
      <c r="AI3" s="1"/>
    </row>
    <row r="4" spans="1:35" x14ac:dyDescent="0.3">
      <c r="C4" s="31"/>
      <c r="D4" s="5">
        <f>DATE($B$1,$B$2,1)</f>
        <v>45778</v>
      </c>
      <c r="E4" s="5">
        <f>D4+1</f>
        <v>45779</v>
      </c>
      <c r="F4" s="5">
        <f t="shared" ref="F4:AH4" si="1">E4+1</f>
        <v>45780</v>
      </c>
      <c r="G4" s="5">
        <f t="shared" si="1"/>
        <v>45781</v>
      </c>
      <c r="H4" s="5">
        <f t="shared" si="1"/>
        <v>45782</v>
      </c>
      <c r="I4" s="5">
        <f t="shared" si="1"/>
        <v>45783</v>
      </c>
      <c r="J4" s="5">
        <f t="shared" si="1"/>
        <v>45784</v>
      </c>
      <c r="K4" s="5">
        <f t="shared" si="1"/>
        <v>45785</v>
      </c>
      <c r="L4" s="5">
        <f t="shared" si="1"/>
        <v>45786</v>
      </c>
      <c r="M4" s="5">
        <f t="shared" si="1"/>
        <v>45787</v>
      </c>
      <c r="N4" s="5">
        <f t="shared" si="1"/>
        <v>45788</v>
      </c>
      <c r="O4" s="5">
        <f t="shared" si="1"/>
        <v>45789</v>
      </c>
      <c r="P4" s="5">
        <f t="shared" si="1"/>
        <v>45790</v>
      </c>
      <c r="Q4" s="5">
        <f t="shared" si="1"/>
        <v>45791</v>
      </c>
      <c r="R4" s="5">
        <f t="shared" si="1"/>
        <v>45792</v>
      </c>
      <c r="S4" s="5">
        <f t="shared" si="1"/>
        <v>45793</v>
      </c>
      <c r="T4" s="5">
        <f t="shared" si="1"/>
        <v>45794</v>
      </c>
      <c r="U4" s="5">
        <f t="shared" si="1"/>
        <v>45795</v>
      </c>
      <c r="V4" s="5">
        <f t="shared" si="1"/>
        <v>45796</v>
      </c>
      <c r="W4" s="5">
        <f t="shared" si="1"/>
        <v>45797</v>
      </c>
      <c r="X4" s="5">
        <f t="shared" si="1"/>
        <v>45798</v>
      </c>
      <c r="Y4" s="5">
        <f t="shared" si="1"/>
        <v>45799</v>
      </c>
      <c r="Z4" s="5">
        <f t="shared" si="1"/>
        <v>45800</v>
      </c>
      <c r="AA4" s="5">
        <f t="shared" si="1"/>
        <v>45801</v>
      </c>
      <c r="AB4" s="5">
        <f t="shared" si="1"/>
        <v>45802</v>
      </c>
      <c r="AC4" s="5">
        <f t="shared" si="1"/>
        <v>45803</v>
      </c>
      <c r="AD4" s="5">
        <f t="shared" si="1"/>
        <v>45804</v>
      </c>
      <c r="AE4" s="5">
        <f t="shared" si="1"/>
        <v>45805</v>
      </c>
      <c r="AF4" s="5">
        <f t="shared" si="1"/>
        <v>45806</v>
      </c>
      <c r="AG4" s="5">
        <f t="shared" si="1"/>
        <v>45807</v>
      </c>
      <c r="AH4" s="3">
        <f t="shared" si="1"/>
        <v>45808</v>
      </c>
    </row>
    <row r="5" spans="1:35" x14ac:dyDescent="0.3">
      <c r="C5" s="7" t="s">
        <v>0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35" x14ac:dyDescent="0.3">
      <c r="C6" s="7" t="s">
        <v>1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35" x14ac:dyDescent="0.3">
      <c r="C7" s="7" t="s">
        <v>2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26" spans="21:21" x14ac:dyDescent="0.3">
      <c r="U26" s="24"/>
    </row>
  </sheetData>
  <mergeCells count="1">
    <mergeCell ref="C3:C4"/>
  </mergeCells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CHECK_IO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2025-05-11T07:15:53Z</dcterms:created>
  <dcterms:modified xsi:type="dcterms:W3CDTF">2025-05-22T06:05:53Z</dcterms:modified>
</cp:coreProperties>
</file>