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3040" windowHeight="8676" tabRatio="729" activeTab="3"/>
  </bookViews>
  <sheets>
    <sheet name="MENU" sheetId="5" r:id="rId1"/>
    <sheet name="MATERIAL" sheetId="2" r:id="rId2"/>
    <sheet name="BILL" sheetId="3" r:id="rId3"/>
    <sheet name="THONG KE" sheetId="11" r:id="rId4"/>
    <sheet name="DT" sheetId="8" r:id="rId5"/>
    <sheet name="TONG_LY" sheetId="9" r:id="rId6"/>
    <sheet name="1_5" sheetId="10" r:id="rId7"/>
  </sheets>
  <definedNames>
    <definedName name="_xlnm.Print_Area" localSheetId="2">BILL!$B$4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11" l="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10" i="11"/>
  <c r="E3" i="11" l="1"/>
  <c r="E4" i="11"/>
  <c r="E5" i="11"/>
  <c r="E6" i="11"/>
  <c r="E8" i="11"/>
  <c r="E9" i="11"/>
  <c r="E10" i="11"/>
  <c r="E11" i="11"/>
  <c r="E12" i="11"/>
  <c r="E13" i="11"/>
  <c r="I2" i="11"/>
  <c r="T14" i="11"/>
  <c r="T12" i="11"/>
  <c r="P37" i="11"/>
  <c r="P34" i="11"/>
  <c r="P33" i="11"/>
  <c r="P30" i="11"/>
  <c r="P28" i="11"/>
  <c r="P27" i="11"/>
  <c r="P26" i="11"/>
  <c r="P25" i="11"/>
  <c r="P23" i="11"/>
  <c r="P22" i="11"/>
  <c r="P20" i="11"/>
  <c r="P19" i="11"/>
  <c r="P15" i="11"/>
  <c r="P14" i="11"/>
  <c r="P12" i="11"/>
  <c r="P11" i="11"/>
  <c r="K4" i="11"/>
  <c r="K3" i="11"/>
  <c r="K41" i="5"/>
  <c r="J41" i="5"/>
  <c r="I41" i="5"/>
  <c r="H41" i="5"/>
  <c r="G41" i="5"/>
  <c r="F41" i="5"/>
  <c r="E41" i="5"/>
  <c r="D41" i="5"/>
  <c r="C41" i="5"/>
  <c r="B41" i="5"/>
  <c r="J2" i="11" l="1"/>
  <c r="K2" i="11"/>
  <c r="L39" i="5"/>
  <c r="P39" i="5" s="1"/>
  <c r="A1" i="8"/>
  <c r="C7" i="11" l="1"/>
  <c r="E7" i="11" s="1"/>
  <c r="K5" i="11" s="1"/>
  <c r="K6" i="11" s="1"/>
  <c r="AO69" i="10"/>
  <c r="I10" i="11" l="1"/>
  <c r="I11" i="11" s="1"/>
  <c r="I13" i="11"/>
  <c r="H10" i="11"/>
  <c r="H11" i="11" s="1"/>
  <c r="F20" i="2"/>
  <c r="F19" i="2"/>
  <c r="A5" i="3" l="1"/>
  <c r="F23" i="2" l="1"/>
  <c r="F4" i="2"/>
  <c r="C5" i="5"/>
  <c r="F5" i="5"/>
  <c r="H5" i="5"/>
  <c r="I5" i="5"/>
  <c r="F7" i="2"/>
  <c r="F8" i="2"/>
  <c r="F9" i="2"/>
  <c r="F10" i="2"/>
  <c r="F11" i="2"/>
  <c r="F12" i="2"/>
  <c r="F13" i="2"/>
  <c r="F14" i="2"/>
  <c r="F15" i="2"/>
  <c r="F16" i="2"/>
  <c r="F17" i="2"/>
  <c r="F18" i="2"/>
  <c r="F21" i="2"/>
  <c r="J5" i="5" s="1"/>
  <c r="F22" i="2"/>
  <c r="K5" i="5" s="1"/>
  <c r="F5" i="2" l="1"/>
  <c r="D5" i="5" s="1"/>
  <c r="F6" i="2"/>
  <c r="E5" i="5" s="1"/>
  <c r="F3" i="2"/>
  <c r="B5" i="5" s="1"/>
  <c r="L3" i="5" l="1"/>
  <c r="M3" i="5" l="1"/>
  <c r="P3" i="5" s="1"/>
</calcChain>
</file>

<file path=xl/sharedStrings.xml><?xml version="1.0" encoding="utf-8"?>
<sst xmlns="http://schemas.openxmlformats.org/spreadsheetml/2006/main" count="1525" uniqueCount="137">
  <si>
    <t>HÓA ĐƠN</t>
  </si>
  <si>
    <t>SL</t>
  </si>
  <si>
    <t>Tổng tiền</t>
  </si>
  <si>
    <t>SĐT: 0866.008.667</t>
  </si>
  <si>
    <t>Wifi: HUN TEA</t>
  </si>
  <si>
    <t>MÓN</t>
  </si>
  <si>
    <t>BÁNH FLAN</t>
  </si>
  <si>
    <t>THẠCH CỦ NĂNG</t>
  </si>
  <si>
    <t>NGUYÊN LIỆU</t>
  </si>
  <si>
    <t>STT</t>
  </si>
  <si>
    <t>TÊN</t>
  </si>
  <si>
    <t>GIÁ NHẬP</t>
  </si>
  <si>
    <t>SỐ LƯỢNG</t>
  </si>
  <si>
    <t>ĐƠN VỊ</t>
  </si>
  <si>
    <t>GIÁ ĐƠN VỊ</t>
  </si>
  <si>
    <t>GHI CHÚ</t>
  </si>
  <si>
    <t>ĐƯỜNG THÁI</t>
  </si>
  <si>
    <t>SỮA ĐẶC VNM TÀI LỘC</t>
  </si>
  <si>
    <t>BỘT SỮA FRIMA HQ</t>
  </si>
  <si>
    <t>TRÀ ĐEN LỘC PHÁT</t>
  </si>
  <si>
    <t>CAFÉ PHIN</t>
  </si>
  <si>
    <t>CAFÉ HẠT</t>
  </si>
  <si>
    <t>BỌC MANG ĐI</t>
  </si>
  <si>
    <t>BỘ LY MUỖNG THÌA</t>
  </si>
  <si>
    <t>YAGOURT HỘP</t>
  </si>
  <si>
    <t>BƠ TRÁI</t>
  </si>
  <si>
    <t>DÂU TRÁI</t>
  </si>
  <si>
    <t>SỮA TƯƠI</t>
  </si>
  <si>
    <t>RICH LÙN</t>
  </si>
  <si>
    <t>Gram</t>
  </si>
  <si>
    <t>HẠT ĐÁC</t>
  </si>
  <si>
    <t>BỘT…</t>
  </si>
  <si>
    <t>BỘT LÀM TRÂN CHÂU TƯƠI</t>
  </si>
  <si>
    <t>BỘT NĂNG</t>
  </si>
  <si>
    <t>BỘT LÀM TRÂN CHÂU</t>
  </si>
  <si>
    <t>PHOMAI</t>
  </si>
  <si>
    <t>CỦ NĂNG</t>
  </si>
  <si>
    <t>FOB L</t>
  </si>
  <si>
    <t>FOB M</t>
  </si>
  <si>
    <t>RETAIL L</t>
  </si>
  <si>
    <t>RETAIL M</t>
  </si>
  <si>
    <t>Pcs</t>
  </si>
  <si>
    <t>ĐÁ</t>
  </si>
  <si>
    <t>% AVG RETAIL</t>
  </si>
  <si>
    <t>Đ/C: 43 Nguyễn Ái Quốc, BH, ĐN</t>
  </si>
  <si>
    <t>(Đầu công viên 30/4)</t>
  </si>
  <si>
    <t>*Khách Trả:</t>
  </si>
  <si>
    <t>* Tiền thừa:</t>
  </si>
  <si>
    <t>TOPPING</t>
  </si>
  <si>
    <t xml:space="preserve">     </t>
  </si>
  <si>
    <t>HUN's TEA</t>
  </si>
  <si>
    <t>CAKE</t>
  </si>
  <si>
    <t>Trà Sữa Truyền Thống</t>
  </si>
  <si>
    <t>Trà Sữa Olong Lài</t>
  </si>
  <si>
    <t>Trà Sữa Gạo Rang</t>
  </si>
  <si>
    <t>Trà Đào Cam Xả</t>
  </si>
  <si>
    <t>Trà Dưa Lưới</t>
  </si>
  <si>
    <t>Trà Lài Đác Thơm</t>
  </si>
  <si>
    <t>Matcha Latte</t>
  </si>
  <si>
    <t>Yaourt Đá</t>
  </si>
  <si>
    <t>Yaourt Chanh Dây</t>
  </si>
  <si>
    <t>Đá Me Đác Thơm</t>
  </si>
  <si>
    <t>Sâm Dứa Sữa</t>
  </si>
  <si>
    <t>Trân Châu Đen</t>
  </si>
  <si>
    <t>Trân Châu 3Q</t>
  </si>
  <si>
    <t>Bánh Flan</t>
  </si>
  <si>
    <t>Thạch Nổ Củ Năng</t>
  </si>
  <si>
    <t>Thạch Phô Mai</t>
  </si>
  <si>
    <t>Pudding</t>
  </si>
  <si>
    <t>Phô Mai Chân Mèo</t>
  </si>
  <si>
    <t>Bông Lan Trứng Muôi</t>
  </si>
  <si>
    <t>Bông Lan Mặn</t>
  </si>
  <si>
    <t>BỘ LY MUỖNG THÌA L</t>
  </si>
  <si>
    <t>BỘ LY MUỖNG THÌA M</t>
  </si>
  <si>
    <t>BỘ LY MUỖNG THÌA CF</t>
  </si>
  <si>
    <t>Yaourt Việt Quất</t>
  </si>
  <si>
    <t>Đ.GIÁ</t>
  </si>
  <si>
    <t>T.TIỀN</t>
  </si>
  <si>
    <t>TÊN MÓN</t>
  </si>
  <si>
    <t>Trà Sữa Truyền Thống (M)</t>
  </si>
  <si>
    <t>Trà Sữa Gạo Rang (M)</t>
  </si>
  <si>
    <t>Trà Sữa Gạo Rang (L)</t>
  </si>
  <si>
    <t>Trà Sữa Truyền Thống (L)</t>
  </si>
  <si>
    <t>+ Trân Châu Đen</t>
  </si>
  <si>
    <t>Trà Sữa Olong Lài (M)</t>
  </si>
  <si>
    <t>TOTAL</t>
  </si>
  <si>
    <t>Trà Sữa Olong Lài (L)</t>
  </si>
  <si>
    <t>+ Phô Mai Chân Mèo</t>
  </si>
  <si>
    <t>+ Bánh Flan</t>
  </si>
  <si>
    <t>+ Trân Châu 3Q</t>
  </si>
  <si>
    <t>FREE</t>
  </si>
  <si>
    <t>Bánh Tráng Muối</t>
  </si>
  <si>
    <t>Yaourt</t>
  </si>
  <si>
    <t>+ Thạch Phô Mai</t>
  </si>
  <si>
    <t>+ Thạch Nổ Củ Năng</t>
  </si>
  <si>
    <t>+ Pudding</t>
  </si>
  <si>
    <t>Pass: 0983616198</t>
  </si>
  <si>
    <t>j</t>
  </si>
  <si>
    <t>TEN MON</t>
  </si>
  <si>
    <t>T.TIEN</t>
  </si>
  <si>
    <t>+ Sương sáo</t>
  </si>
  <si>
    <t>CHI PHÍ</t>
  </si>
  <si>
    <t>TỔNG</t>
  </si>
  <si>
    <t>Nhân sự</t>
  </si>
  <si>
    <t>Mặt Bằng</t>
  </si>
  <si>
    <t>Điện</t>
  </si>
  <si>
    <t>Nước</t>
  </si>
  <si>
    <t>Marketing</t>
  </si>
  <si>
    <t>Décor</t>
  </si>
  <si>
    <t>Bảo hành, bảo trì</t>
  </si>
  <si>
    <t>Trích thu hồi vốn</t>
  </si>
  <si>
    <t>Chi phí phát sinh</t>
  </si>
  <si>
    <t>CHI PHÍ VẬN HÀNH</t>
  </si>
  <si>
    <t>Doanh Thu</t>
  </si>
  <si>
    <t>Giá bán trung bình</t>
  </si>
  <si>
    <t>Cost (trung bình)</t>
  </si>
  <si>
    <t>Chi phí tổng</t>
  </si>
  <si>
    <t>Lợi nhuận ước tính</t>
  </si>
  <si>
    <t>ĐIỂM HÒA VỐN</t>
  </si>
  <si>
    <t>TƯƠNG ĐƯƠNG</t>
  </si>
  <si>
    <t>Tổng</t>
  </si>
  <si>
    <t>Đơn vị</t>
  </si>
  <si>
    <t>Ly/ tháng</t>
  </si>
  <si>
    <t>CAFÉ</t>
  </si>
  <si>
    <t>TS</t>
  </si>
  <si>
    <t>CAPHE</t>
  </si>
  <si>
    <t>CF</t>
  </si>
  <si>
    <t>Đá, nước lọc</t>
  </si>
  <si>
    <t>Cost (sữa, đường, cf…)</t>
  </si>
  <si>
    <t>CF HẠT</t>
  </si>
  <si>
    <t>SỮA ĐẶC</t>
  </si>
  <si>
    <t>LY, BỌC, ỐNG</t>
  </si>
  <si>
    <t>SỮA CHUA</t>
  </si>
  <si>
    <t>Ly/ngày</t>
  </si>
  <si>
    <t>VND/NGÀY</t>
  </si>
  <si>
    <t>TIỀN HÒA VỐN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</si>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</sst>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hh:mm\ dd/mm/yyyy"/>
  </numFmts>
  <fonts count="28">
    <font>
      <sz val="11"/>
      <color theme="1"/>
      <name val="Calibri"/>
      <family val="2"/>
      <scheme val="minor"/>
    </font>
    <font>
      <sz val="10"/>
      <color theme="1"/>
      <name val="Calibri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sz val="11"/>
      <name val="Calibri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9"/>
      <color theme="1"/>
      <name val=".VnArabia"/>
      <family val="2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6" fillId="0" borderId="0" applyFont="0" applyFill="0" applyBorder="0" applyAlignment="0" applyProtection="0"/>
    <xf numFmtId="0" fontId="9" fillId="0" borderId="0"/>
    <xf numFmtId="9" fontId="6" fillId="0" borderId="0" applyFont="0" applyFill="0" applyBorder="0" applyAlignment="0" applyProtection="0"/>
  </cellStyleXfs>
  <cellXfs count="138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0" xfId="0" applyBorder="1"/>
    <xf numFmtId="0" fontId="7" fillId="2" borderId="2" xfId="0" applyFont="1" applyFill="1" applyBorder="1"/>
    <xf numFmtId="0" fontId="7" fillId="2" borderId="9" xfId="0" applyFont="1" applyFill="1" applyBorder="1"/>
    <xf numFmtId="0" fontId="0" fillId="3" borderId="10" xfId="0" applyFill="1" applyBorder="1"/>
    <xf numFmtId="0" fontId="8" fillId="7" borderId="1" xfId="0" applyFont="1" applyFill="1" applyBorder="1"/>
    <xf numFmtId="0" fontId="0" fillId="4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0" borderId="0" xfId="0" applyNumberFormat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164" fontId="0" fillId="0" borderId="1" xfId="1" applyNumberFormat="1" applyFont="1" applyBorder="1"/>
    <xf numFmtId="0" fontId="0" fillId="0" borderId="14" xfId="0" applyBorder="1"/>
    <xf numFmtId="0" fontId="0" fillId="0" borderId="7" xfId="0" applyBorder="1"/>
    <xf numFmtId="0" fontId="0" fillId="0" borderId="8" xfId="0" applyBorder="1"/>
    <xf numFmtId="164" fontId="0" fillId="0" borderId="8" xfId="1" applyNumberFormat="1" applyFont="1" applyBorder="1"/>
    <xf numFmtId="0" fontId="0" fillId="0" borderId="15" xfId="0" applyBorder="1"/>
    <xf numFmtId="0" fontId="0" fillId="5" borderId="10" xfId="0" applyFill="1" applyBorder="1"/>
    <xf numFmtId="39" fontId="0" fillId="0" borderId="1" xfId="0" applyNumberFormat="1" applyBorder="1"/>
    <xf numFmtId="39" fontId="0" fillId="0" borderId="8" xfId="0" applyNumberFormat="1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Protection="1"/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0" fontId="0" fillId="3" borderId="1" xfId="0" applyFill="1" applyBorder="1"/>
    <xf numFmtId="0" fontId="0" fillId="5" borderId="1" xfId="0" applyFill="1" applyBorder="1"/>
    <xf numFmtId="0" fontId="16" fillId="8" borderId="0" xfId="0" applyFont="1" applyFill="1" applyBorder="1" applyAlignment="1">
      <alignment horizontal="left" vertical="center"/>
    </xf>
    <xf numFmtId="0" fontId="17" fillId="2" borderId="2" xfId="0" applyFont="1" applyFill="1" applyBorder="1" applyAlignment="1">
      <alignment vertical="center"/>
    </xf>
    <xf numFmtId="0" fontId="15" fillId="2" borderId="8" xfId="0" applyFont="1" applyFill="1" applyBorder="1" applyAlignment="1">
      <alignment horizontal="center"/>
    </xf>
    <xf numFmtId="0" fontId="22" fillId="2" borderId="8" xfId="0" applyFont="1" applyFill="1" applyBorder="1" applyAlignment="1">
      <alignment horizontal="center" vertical="center"/>
    </xf>
    <xf numFmtId="164" fontId="22" fillId="2" borderId="8" xfId="1" applyNumberFormat="1" applyFont="1" applyFill="1" applyBorder="1"/>
    <xf numFmtId="164" fontId="21" fillId="2" borderId="8" xfId="0" applyNumberFormat="1" applyFont="1" applyFill="1" applyBorder="1"/>
    <xf numFmtId="0" fontId="20" fillId="2" borderId="8" xfId="0" applyFont="1" applyFill="1" applyBorder="1" applyAlignment="1">
      <alignment horizontal="left"/>
    </xf>
    <xf numFmtId="164" fontId="3" fillId="2" borderId="1" xfId="0" applyNumberFormat="1" applyFont="1" applyFill="1" applyBorder="1"/>
    <xf numFmtId="0" fontId="0" fillId="0" borderId="0" xfId="0" applyAlignment="1" applyProtection="1">
      <alignment horizontal="left" vertical="center"/>
    </xf>
    <xf numFmtId="0" fontId="0" fillId="0" borderId="16" xfId="0" applyBorder="1" applyAlignment="1" applyProtection="1">
      <alignment horizontal="left" vertical="center"/>
    </xf>
    <xf numFmtId="164" fontId="0" fillId="0" borderId="0" xfId="1" applyNumberFormat="1" applyFont="1" applyProtection="1"/>
    <xf numFmtId="0" fontId="23" fillId="8" borderId="0" xfId="0" applyFont="1" applyFill="1"/>
    <xf numFmtId="164" fontId="7" fillId="8" borderId="0" xfId="1" applyNumberFormat="1" applyFont="1" applyFill="1"/>
    <xf numFmtId="0" fontId="0" fillId="3" borderId="1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164" fontId="15" fillId="2" borderId="1" xfId="0" applyNumberFormat="1" applyFont="1" applyFill="1" applyBorder="1"/>
    <xf numFmtId="0" fontId="1" fillId="9" borderId="0" xfId="0" quotePrefix="1" applyFont="1" applyFill="1" applyAlignment="1">
      <alignment horizontal="left"/>
    </xf>
    <xf numFmtId="0" fontId="1" fillId="9" borderId="0" xfId="0" applyFont="1" applyFill="1"/>
    <xf numFmtId="0" fontId="5" fillId="9" borderId="0" xfId="0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0" xfId="0" applyFont="1" applyFill="1" applyBorder="1"/>
    <xf numFmtId="0" fontId="2" fillId="9" borderId="0" xfId="0" applyFont="1" applyFill="1"/>
    <xf numFmtId="0" fontId="15" fillId="9" borderId="8" xfId="0" applyFont="1" applyFill="1" applyBorder="1" applyAlignment="1">
      <alignment horizontal="center"/>
    </xf>
    <xf numFmtId="0" fontId="20" fillId="9" borderId="8" xfId="0" applyFont="1" applyFill="1" applyBorder="1" applyAlignment="1">
      <alignment horizontal="left"/>
    </xf>
    <xf numFmtId="0" fontId="22" fillId="9" borderId="8" xfId="0" applyFont="1" applyFill="1" applyBorder="1" applyAlignment="1">
      <alignment horizontal="center" vertical="center"/>
    </xf>
    <xf numFmtId="164" fontId="22" fillId="9" borderId="8" xfId="1" applyNumberFormat="1" applyFont="1" applyFill="1" applyBorder="1"/>
    <xf numFmtId="164" fontId="21" fillId="9" borderId="8" xfId="0" applyNumberFormat="1" applyFont="1" applyFill="1" applyBorder="1"/>
    <xf numFmtId="164" fontId="3" fillId="9" borderId="1" xfId="0" applyNumberFormat="1" applyFont="1" applyFill="1" applyBorder="1"/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/>
    <xf numFmtId="164" fontId="3" fillId="9" borderId="0" xfId="0" applyNumberFormat="1" applyFont="1" applyFill="1" applyBorder="1"/>
    <xf numFmtId="37" fontId="3" fillId="9" borderId="0" xfId="0" applyNumberFormat="1" applyFont="1" applyFill="1" applyBorder="1"/>
    <xf numFmtId="0" fontId="0" fillId="9" borderId="0" xfId="0" applyFill="1"/>
    <xf numFmtId="0" fontId="14" fillId="9" borderId="0" xfId="0" applyFont="1" applyFill="1"/>
    <xf numFmtId="166" fontId="24" fillId="9" borderId="0" xfId="0" applyNumberFormat="1" applyFont="1" applyFill="1" applyAlignment="1">
      <alignment horizontal="left" vertical="top"/>
    </xf>
    <xf numFmtId="0" fontId="0" fillId="3" borderId="10" xfId="0" quotePrefix="1" applyFill="1" applyBorder="1" applyAlignment="1">
      <alignment vertical="center"/>
    </xf>
    <xf numFmtId="0" fontId="0" fillId="5" borderId="8" xfId="0" quotePrefix="1" applyFill="1" applyBorder="1" applyAlignment="1">
      <alignment vertical="center"/>
    </xf>
    <xf numFmtId="0" fontId="0" fillId="3" borderId="1" xfId="0" quotePrefix="1" applyFill="1" applyBorder="1" applyAlignment="1">
      <alignment vertical="center"/>
    </xf>
    <xf numFmtId="14" fontId="0" fillId="0" borderId="0" xfId="0" applyNumberFormat="1"/>
    <xf numFmtId="166" fontId="0" fillId="0" borderId="0" xfId="0" applyNumberFormat="1"/>
    <xf numFmtId="14" fontId="23" fillId="0" borderId="0" xfId="0" applyNumberFormat="1" applyFont="1"/>
    <xf numFmtId="14" fontId="7" fillId="0" borderId="0" xfId="0" applyNumberFormat="1" applyFont="1"/>
    <xf numFmtId="0" fontId="23" fillId="8" borderId="1" xfId="0" applyFont="1" applyFill="1" applyBorder="1" applyAlignment="1">
      <alignment horizontal="center" vertical="center"/>
    </xf>
    <xf numFmtId="164" fontId="23" fillId="8" borderId="1" xfId="1" applyNumberFormat="1" applyFont="1" applyFill="1" applyBorder="1" applyAlignment="1">
      <alignment horizontal="center" vertical="center"/>
    </xf>
    <xf numFmtId="0" fontId="20" fillId="9" borderId="8" xfId="0" quotePrefix="1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10" borderId="1" xfId="0" applyFill="1" applyBorder="1"/>
    <xf numFmtId="164" fontId="0" fillId="10" borderId="1" xfId="1" applyNumberFormat="1" applyFont="1" applyFill="1" applyBorder="1"/>
    <xf numFmtId="0" fontId="0" fillId="11" borderId="1" xfId="0" applyFill="1" applyBorder="1"/>
    <xf numFmtId="164" fontId="11" fillId="14" borderId="1" xfId="1" applyNumberFormat="1" applyFont="1" applyFill="1" applyBorder="1"/>
    <xf numFmtId="164" fontId="8" fillId="0" borderId="1" xfId="1" applyNumberFormat="1" applyFont="1" applyBorder="1"/>
    <xf numFmtId="164" fontId="8" fillId="14" borderId="1" xfId="1" applyNumberFormat="1" applyFont="1" applyFill="1" applyBorder="1"/>
    <xf numFmtId="164" fontId="7" fillId="2" borderId="5" xfId="1" applyNumberFormat="1" applyFont="1" applyFill="1" applyBorder="1"/>
    <xf numFmtId="164" fontId="0" fillId="0" borderId="1" xfId="1" applyNumberFormat="1" applyFont="1" applyBorder="1" applyAlignment="1">
      <alignment horizontal="center"/>
    </xf>
    <xf numFmtId="164" fontId="0" fillId="8" borderId="0" xfId="1" applyNumberFormat="1" applyFont="1" applyFill="1" applyBorder="1" applyAlignment="1">
      <alignment horizontal="center"/>
    </xf>
    <xf numFmtId="9" fontId="8" fillId="14" borderId="1" xfId="3" applyFont="1" applyFill="1" applyBorder="1"/>
    <xf numFmtId="0" fontId="23" fillId="12" borderId="1" xfId="0" applyFont="1" applyFill="1" applyBorder="1"/>
    <xf numFmtId="164" fontId="0" fillId="6" borderId="1" xfId="1" applyNumberFormat="1" applyFont="1" applyFill="1" applyBorder="1"/>
    <xf numFmtId="164" fontId="0" fillId="0" borderId="1" xfId="0" applyNumberFormat="1" applyBorder="1"/>
    <xf numFmtId="0" fontId="5" fillId="0" borderId="1" xfId="0" applyFont="1" applyBorder="1"/>
    <xf numFmtId="43" fontId="0" fillId="0" borderId="0" xfId="0" applyNumberFormat="1"/>
    <xf numFmtId="43" fontId="0" fillId="6" borderId="1" xfId="1" applyNumberFormat="1" applyFont="1" applyFill="1" applyBorder="1"/>
    <xf numFmtId="164" fontId="25" fillId="15" borderId="0" xfId="0" applyNumberFormat="1" applyFont="1" applyFill="1"/>
    <xf numFmtId="0" fontId="25" fillId="15" borderId="0" xfId="0" applyFont="1" applyFill="1"/>
    <xf numFmtId="43" fontId="11" fillId="13" borderId="0" xfId="0" applyNumberFormat="1" applyFont="1" applyFill="1"/>
    <xf numFmtId="0" fontId="0" fillId="5" borderId="8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0" xfId="0" applyFill="1" applyBorder="1" applyAlignment="1">
      <alignment horizontal="left" vertical="center"/>
    </xf>
    <xf numFmtId="164" fontId="0" fillId="0" borderId="6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0" fillId="0" borderId="11" xfId="1" applyNumberFormat="1" applyFont="1" applyBorder="1" applyAlignment="1">
      <alignment horizontal="center" vertical="center"/>
    </xf>
    <xf numFmtId="164" fontId="10" fillId="0" borderId="6" xfId="1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64" fontId="0" fillId="0" borderId="1" xfId="1" applyNumberFormat="1" applyFont="1" applyBorder="1" applyAlignment="1">
      <alignment horizontal="center"/>
    </xf>
    <xf numFmtId="0" fontId="0" fillId="3" borderId="10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164" fontId="11" fillId="0" borderId="11" xfId="1" applyNumberFormat="1" applyFont="1" applyBorder="1" applyAlignment="1">
      <alignment horizontal="center" vertical="center"/>
    </xf>
    <xf numFmtId="164" fontId="11" fillId="0" borderId="6" xfId="1" applyNumberFormat="1" applyFont="1" applyBorder="1" applyAlignment="1">
      <alignment horizontal="center" vertical="center"/>
    </xf>
    <xf numFmtId="9" fontId="12" fillId="0" borderId="11" xfId="3" applyFont="1" applyBorder="1" applyAlignment="1">
      <alignment horizontal="center" vertical="center"/>
    </xf>
    <xf numFmtId="9" fontId="12" fillId="0" borderId="6" xfId="3" applyFont="1" applyBorder="1" applyAlignment="1">
      <alignment horizontal="center" vertical="center"/>
    </xf>
    <xf numFmtId="165" fontId="11" fillId="0" borderId="11" xfId="1" applyNumberFormat="1" applyFont="1" applyBorder="1" applyAlignment="1">
      <alignment horizontal="center" vertical="center"/>
    </xf>
    <xf numFmtId="165" fontId="11" fillId="0" borderId="6" xfId="1" applyNumberFormat="1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0" fillId="3" borderId="8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19" fillId="9" borderId="0" xfId="0" applyFont="1" applyFill="1" applyAlignment="1">
      <alignment horizontal="center"/>
    </xf>
    <xf numFmtId="0" fontId="0" fillId="9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9" borderId="0" xfId="0" applyFont="1" applyFill="1" applyAlignment="1"/>
    <xf numFmtId="0" fontId="15" fillId="9" borderId="1" xfId="0" applyFont="1" applyFill="1" applyBorder="1" applyAlignment="1">
      <alignment horizontal="center"/>
    </xf>
    <xf numFmtId="0" fontId="4" fillId="9" borderId="1" xfId="0" applyFont="1" applyFill="1" applyBorder="1"/>
    <xf numFmtId="0" fontId="13" fillId="9" borderId="8" xfId="0" applyFont="1" applyFill="1" applyBorder="1" applyAlignment="1">
      <alignment horizontal="center" vertical="center"/>
    </xf>
    <xf numFmtId="0" fontId="13" fillId="9" borderId="10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0" fontId="4" fillId="2" borderId="1" xfId="0" applyFont="1" applyFill="1" applyBorder="1"/>
    <xf numFmtId="3" fontId="8" fillId="14" borderId="1" xfId="1" applyNumberFormat="1" applyFont="1" applyFill="1" applyBorder="1"/>
    <xf numFmtId="0" fontId="0" fillId="0" borderId="1" xfId="0" applyBorder="1" applyAlignment="1">
      <alignment horizontal="right"/>
    </xf>
    <xf numFmtId="16" fontId="0" fillId="0" borderId="1" xfId="0" applyNumberFormat="1" applyBorder="1"/>
    <xf numFmtId="0" fontId="0" fillId="0" borderId="1" xfId="0" applyFont="1" applyBorder="1"/>
    <xf numFmtId="9" fontId="26" fillId="0" borderId="1" xfId="3" applyFont="1" applyBorder="1" applyAlignment="1">
      <alignment horizontal="center"/>
    </xf>
    <xf numFmtId="0" fontId="0" fillId="14" borderId="1" xfId="0" applyFont="1" applyFill="1" applyBorder="1"/>
    <xf numFmtId="0" fontId="27" fillId="11" borderId="1" xfId="0" applyFont="1" applyFill="1" applyBorder="1"/>
    <xf numFmtId="0" fontId="23" fillId="8" borderId="1" xfId="0" applyFont="1" applyFill="1" applyBorder="1"/>
  </cellXfs>
  <cellStyles count="4">
    <cellStyle name="Comma" xfId="1" builtinId="3"/>
    <cellStyle name="Normal" xfId="0" builtinId="0"/>
    <cellStyle name="Normal 2" xfId="2"/>
    <cellStyle name="Percent" xfId="3" builtinId="5"/>
  </cellStyles>
  <dxfs count="14"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7" formatCode="#,##0.00_);\(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FF"/>
      <color rgb="FFFFCCFF"/>
      <color rgb="FFFF3399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467196</xdr:colOff>
      <xdr:row>0</xdr:row>
      <xdr:rowOff>0</xdr:rowOff>
    </xdr:from>
    <xdr:to>
      <xdr:col>9</xdr:col>
      <xdr:colOff>167697</xdr:colOff>
      <xdr:row>0</xdr:row>
      <xdr:rowOff>571500</xdr:rowOff>
    </xdr:to>
    <xdr:sp macro="" textlink="">
      <xdr:nvSpPr>
        <xdr:cNvPr id="2" name="6-Point Star 1"/>
        <xdr:cNvSpPr/>
      </xdr:nvSpPr>
      <xdr:spPr>
        <a:xfrm>
          <a:off x="5397336" y="0"/>
          <a:ext cx="3297141" cy="571500"/>
        </a:xfrm>
        <a:prstGeom prst="star6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FF3399"/>
              </a:solidFill>
              <a:latin typeface=".Vn3DH" panose="020B7200000000000000" pitchFamily="34" charset="0"/>
            </a:rPr>
            <a:t>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426720</xdr:colOff>
      <xdr:row>0</xdr:row>
      <xdr:rowOff>67802</xdr:rowOff>
    </xdr:from>
    <xdr:ext cx="3177540" cy="387222"/>
    <xdr:sp macro="" textlink="">
      <xdr:nvSpPr>
        <xdr:cNvPr id="2" name="TextBox 1"/>
        <xdr:cNvSpPr txBox="1"/>
      </xdr:nvSpPr>
      <xdr:spPr>
        <a:xfrm>
          <a:off x="3185160" y="67802"/>
          <a:ext cx="3177540" cy="38722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FF3399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000">
              <a:latin typeface="Times New Roman" panose="02020603050405020304" pitchFamily="18" charset="0"/>
              <a:cs typeface="Times New Roman" panose="02020603050405020304" pitchFamily="18" charset="0"/>
            </a:rPr>
            <a:t>GIÁ</a:t>
          </a:r>
          <a:r>
            <a:rPr lang="en-US" sz="2000" baseline="0">
              <a:latin typeface="Times New Roman" panose="02020603050405020304" pitchFamily="18" charset="0"/>
              <a:cs typeface="Times New Roman" panose="02020603050405020304" pitchFamily="18" charset="0"/>
            </a:rPr>
            <a:t> NGUYÊN VẬT LIỆU</a:t>
          </a:r>
          <a:endParaRPr lang="en-US" sz="2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182880</xdr:colOff>
          <xdr:row>7</xdr:row>
          <xdr:rowOff>15240</xdr:rowOff>
        </xdr:from>
        <xdr:to>
          <xdr:col>4</xdr:col>
          <xdr:colOff>350520</xdr:colOff>
          <xdr:row>7</xdr:row>
          <xdr:rowOff>137160</xdr:rowOff>
        </xdr:to>
        <xdr:sp macro="" textlink="">
          <xdr:nvSpPr>
            <xdr:cNvPr id="4102" name="tru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8</xdr:row>
          <xdr:rowOff>22860</xdr:rowOff>
        </xdr:from>
        <xdr:to>
          <xdr:col>4</xdr:col>
          <xdr:colOff>350520</xdr:colOff>
          <xdr:row>8</xdr:row>
          <xdr:rowOff>144780</xdr:rowOff>
        </xdr:to>
        <xdr:sp macro="" textlink="">
          <xdr:nvSpPr>
            <xdr:cNvPr id="4112" name="tru2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9</xdr:row>
          <xdr:rowOff>22860</xdr:rowOff>
        </xdr:from>
        <xdr:to>
          <xdr:col>4</xdr:col>
          <xdr:colOff>350520</xdr:colOff>
          <xdr:row>9</xdr:row>
          <xdr:rowOff>144780</xdr:rowOff>
        </xdr:to>
        <xdr:sp macro="" textlink="">
          <xdr:nvSpPr>
            <xdr:cNvPr id="4114" name="tru3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10</xdr:row>
          <xdr:rowOff>22860</xdr:rowOff>
        </xdr:from>
        <xdr:to>
          <xdr:col>4</xdr:col>
          <xdr:colOff>350520</xdr:colOff>
          <xdr:row>10</xdr:row>
          <xdr:rowOff>144780</xdr:rowOff>
        </xdr:to>
        <xdr:sp macro="" textlink="">
          <xdr:nvSpPr>
            <xdr:cNvPr id="4116" name="tru4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11</xdr:row>
          <xdr:rowOff>30480</xdr:rowOff>
        </xdr:from>
        <xdr:to>
          <xdr:col>4</xdr:col>
          <xdr:colOff>350520</xdr:colOff>
          <xdr:row>11</xdr:row>
          <xdr:rowOff>152400</xdr:rowOff>
        </xdr:to>
        <xdr:sp macro="" textlink="">
          <xdr:nvSpPr>
            <xdr:cNvPr id="4118" name="tru5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7</xdr:row>
          <xdr:rowOff>15240</xdr:rowOff>
        </xdr:from>
        <xdr:to>
          <xdr:col>4</xdr:col>
          <xdr:colOff>548640</xdr:colOff>
          <xdr:row>7</xdr:row>
          <xdr:rowOff>167640</xdr:rowOff>
        </xdr:to>
        <xdr:sp macro="" textlink="">
          <xdr:nvSpPr>
            <xdr:cNvPr id="4119" name="sl1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8</xdr:row>
          <xdr:rowOff>15240</xdr:rowOff>
        </xdr:from>
        <xdr:to>
          <xdr:col>4</xdr:col>
          <xdr:colOff>548640</xdr:colOff>
          <xdr:row>8</xdr:row>
          <xdr:rowOff>175260</xdr:rowOff>
        </xdr:to>
        <xdr:sp macro="" textlink="">
          <xdr:nvSpPr>
            <xdr:cNvPr id="4120" name="sl2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9</xdr:row>
          <xdr:rowOff>15240</xdr:rowOff>
        </xdr:from>
        <xdr:to>
          <xdr:col>4</xdr:col>
          <xdr:colOff>548640</xdr:colOff>
          <xdr:row>9</xdr:row>
          <xdr:rowOff>167640</xdr:rowOff>
        </xdr:to>
        <xdr:sp macro="" textlink="">
          <xdr:nvSpPr>
            <xdr:cNvPr id="4121" name="sl3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10</xdr:row>
          <xdr:rowOff>15240</xdr:rowOff>
        </xdr:from>
        <xdr:to>
          <xdr:col>4</xdr:col>
          <xdr:colOff>548640</xdr:colOff>
          <xdr:row>10</xdr:row>
          <xdr:rowOff>167640</xdr:rowOff>
        </xdr:to>
        <xdr:sp macro="" textlink="">
          <xdr:nvSpPr>
            <xdr:cNvPr id="4122" name="sl4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11</xdr:row>
          <xdr:rowOff>7620</xdr:rowOff>
        </xdr:from>
        <xdr:to>
          <xdr:col>4</xdr:col>
          <xdr:colOff>541020</xdr:colOff>
          <xdr:row>11</xdr:row>
          <xdr:rowOff>167640</xdr:rowOff>
        </xdr:to>
        <xdr:sp macro="" textlink="">
          <xdr:nvSpPr>
            <xdr:cNvPr id="4123" name="sl5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125525</xdr:colOff>
      <xdr:row>10</xdr:row>
      <xdr:rowOff>154956</xdr:rowOff>
    </xdr:from>
    <xdr:to>
      <xdr:col>9</xdr:col>
      <xdr:colOff>463455</xdr:colOff>
      <xdr:row>11</xdr:row>
      <xdr:rowOff>108575</xdr:rowOff>
    </xdr:to>
    <xdr:sp macro="" textlink="">
      <xdr:nvSpPr>
        <xdr:cNvPr id="29" name="Rectangle 28"/>
        <xdr:cNvSpPr/>
      </xdr:nvSpPr>
      <xdr:spPr>
        <a:xfrm>
          <a:off x="5949855" y="2195791"/>
          <a:ext cx="337930" cy="139149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131385</xdr:colOff>
      <xdr:row>11</xdr:row>
      <xdr:rowOff>165153</xdr:rowOff>
    </xdr:from>
    <xdr:to>
      <xdr:col>9</xdr:col>
      <xdr:colOff>469315</xdr:colOff>
      <xdr:row>12</xdr:row>
      <xdr:rowOff>118769</xdr:rowOff>
    </xdr:to>
    <xdr:sp macro="" textlink="">
      <xdr:nvSpPr>
        <xdr:cNvPr id="30" name="Rectangle 29"/>
        <xdr:cNvSpPr/>
      </xdr:nvSpPr>
      <xdr:spPr>
        <a:xfrm>
          <a:off x="5955715" y="2391518"/>
          <a:ext cx="337930" cy="139147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125524</xdr:colOff>
      <xdr:row>12</xdr:row>
      <xdr:rowOff>176875</xdr:rowOff>
    </xdr:from>
    <xdr:to>
      <xdr:col>9</xdr:col>
      <xdr:colOff>463454</xdr:colOff>
      <xdr:row>13</xdr:row>
      <xdr:rowOff>130493</xdr:rowOff>
    </xdr:to>
    <xdr:sp macro="" textlink="">
      <xdr:nvSpPr>
        <xdr:cNvPr id="31" name="Rectangle 30"/>
        <xdr:cNvSpPr/>
      </xdr:nvSpPr>
      <xdr:spPr>
        <a:xfrm>
          <a:off x="5949854" y="2588771"/>
          <a:ext cx="337930" cy="139148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165790</xdr:colOff>
      <xdr:row>14</xdr:row>
      <xdr:rowOff>100675</xdr:rowOff>
    </xdr:from>
    <xdr:to>
      <xdr:col>9</xdr:col>
      <xdr:colOff>503720</xdr:colOff>
      <xdr:row>15</xdr:row>
      <xdr:rowOff>54292</xdr:rowOff>
    </xdr:to>
    <xdr:sp macro="" textlink="">
      <xdr:nvSpPr>
        <xdr:cNvPr id="33" name="Rectangle 32"/>
        <xdr:cNvSpPr/>
      </xdr:nvSpPr>
      <xdr:spPr>
        <a:xfrm>
          <a:off x="5990120" y="2883632"/>
          <a:ext cx="337930" cy="139147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143108</xdr:colOff>
      <xdr:row>16</xdr:row>
      <xdr:rowOff>129983</xdr:rowOff>
    </xdr:from>
    <xdr:to>
      <xdr:col>9</xdr:col>
      <xdr:colOff>481038</xdr:colOff>
      <xdr:row>17</xdr:row>
      <xdr:rowOff>83600</xdr:rowOff>
    </xdr:to>
    <xdr:sp macro="" textlink="">
      <xdr:nvSpPr>
        <xdr:cNvPr id="34" name="Rectangle 33"/>
        <xdr:cNvSpPr/>
      </xdr:nvSpPr>
      <xdr:spPr>
        <a:xfrm>
          <a:off x="5967438" y="3284000"/>
          <a:ext cx="337930" cy="139148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148969</xdr:colOff>
      <xdr:row>17</xdr:row>
      <xdr:rowOff>118259</xdr:rowOff>
    </xdr:from>
    <xdr:to>
      <xdr:col>9</xdr:col>
      <xdr:colOff>486899</xdr:colOff>
      <xdr:row>18</xdr:row>
      <xdr:rowOff>71877</xdr:rowOff>
    </xdr:to>
    <xdr:sp macro="" textlink="">
      <xdr:nvSpPr>
        <xdr:cNvPr id="35" name="Rectangle 34"/>
        <xdr:cNvSpPr/>
      </xdr:nvSpPr>
      <xdr:spPr>
        <a:xfrm>
          <a:off x="5973299" y="3457807"/>
          <a:ext cx="337930" cy="139148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137246</xdr:colOff>
      <xdr:row>19</xdr:row>
      <xdr:rowOff>36961</xdr:rowOff>
    </xdr:from>
    <xdr:to>
      <xdr:col>9</xdr:col>
      <xdr:colOff>475176</xdr:colOff>
      <xdr:row>19</xdr:row>
      <xdr:rowOff>172286</xdr:rowOff>
    </xdr:to>
    <xdr:sp macro="" textlink="">
      <xdr:nvSpPr>
        <xdr:cNvPr id="36" name="Rectangle 35"/>
        <xdr:cNvSpPr/>
      </xdr:nvSpPr>
      <xdr:spPr>
        <a:xfrm>
          <a:off x="5961576" y="3747570"/>
          <a:ext cx="337930" cy="135325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15</xdr:col>
      <xdr:colOff>12790</xdr:colOff>
      <xdr:row>2</xdr:row>
      <xdr:rowOff>11723</xdr:rowOff>
    </xdr:from>
    <xdr:to>
      <xdr:col>16</xdr:col>
      <xdr:colOff>376206</xdr:colOff>
      <xdr:row>5</xdr:row>
      <xdr:rowOff>29308</xdr:rowOff>
    </xdr:to>
    <xdr:sp macro="[0]!PRINTING" textlink="">
      <xdr:nvSpPr>
        <xdr:cNvPr id="2" name="Rounded Rectangle 1"/>
        <xdr:cNvSpPr/>
      </xdr:nvSpPr>
      <xdr:spPr>
        <a:xfrm>
          <a:off x="9479130" y="382784"/>
          <a:ext cx="973016" cy="57417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PRINT</a:t>
          </a:r>
        </a:p>
      </xdr:txBody>
    </xdr:sp>
    <xdr:clientData/>
  </xdr:twoCellAnchor>
  <xdr:twoCellAnchor editAs="absolute">
    <xdr:from>
      <xdr:col>15</xdr:col>
      <xdr:colOff>47959</xdr:colOff>
      <xdr:row>6</xdr:row>
      <xdr:rowOff>0</xdr:rowOff>
    </xdr:from>
    <xdr:to>
      <xdr:col>16</xdr:col>
      <xdr:colOff>411375</xdr:colOff>
      <xdr:row>9</xdr:row>
      <xdr:rowOff>17585</xdr:rowOff>
    </xdr:to>
    <xdr:sp macro="[0]!NEW_BILL" textlink="">
      <xdr:nvSpPr>
        <xdr:cNvPr id="66" name="Rounded Rectangle 65"/>
        <xdr:cNvSpPr/>
      </xdr:nvSpPr>
      <xdr:spPr>
        <a:xfrm>
          <a:off x="9514299" y="1113183"/>
          <a:ext cx="973016" cy="574176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CLEAR</a:t>
          </a:r>
        </a:p>
      </xdr:txBody>
    </xdr:sp>
    <xdr:clientData/>
  </xdr:twoCellAnchor>
  <xdr:twoCellAnchor editAs="absolute">
    <xdr:from>
      <xdr:col>15</xdr:col>
      <xdr:colOff>91028</xdr:colOff>
      <xdr:row>11</xdr:row>
      <xdr:rowOff>175842</xdr:rowOff>
    </xdr:from>
    <xdr:to>
      <xdr:col>16</xdr:col>
      <xdr:colOff>460305</xdr:colOff>
      <xdr:row>14</xdr:row>
      <xdr:rowOff>152396</xdr:rowOff>
    </xdr:to>
    <xdr:sp macro="[0]!Module1.TSDV_M_FREE" textlink="">
      <xdr:nvSpPr>
        <xdr:cNvPr id="4" name="6-Point Star 3"/>
        <xdr:cNvSpPr/>
      </xdr:nvSpPr>
      <xdr:spPr>
        <a:xfrm>
          <a:off x="9554310" y="2174627"/>
          <a:ext cx="978877" cy="521677"/>
        </a:xfrm>
        <a:prstGeom prst="star6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FREE</a:t>
          </a:r>
        </a:p>
      </xdr:txBody>
    </xdr:sp>
    <xdr:clientData/>
  </xdr:twoCellAnchor>
  <xdr:twoCellAnchor>
    <xdr:from>
      <xdr:col>4</xdr:col>
      <xdr:colOff>628687</xdr:colOff>
      <xdr:row>0</xdr:row>
      <xdr:rowOff>0</xdr:rowOff>
    </xdr:from>
    <xdr:to>
      <xdr:col>14</xdr:col>
      <xdr:colOff>534902</xdr:colOff>
      <xdr:row>41</xdr:row>
      <xdr:rowOff>167947</xdr:rowOff>
    </xdr:to>
    <xdr:grpSp>
      <xdr:nvGrpSpPr>
        <xdr:cNvPr id="6" name="Group 5"/>
        <xdr:cNvGrpSpPr/>
      </xdr:nvGrpSpPr>
      <xdr:grpSpPr>
        <a:xfrm>
          <a:off x="3000826" y="0"/>
          <a:ext cx="6393154" cy="7774695"/>
          <a:chOff x="3091179" y="0"/>
          <a:chExt cx="6394101" cy="7755290"/>
        </a:xfrm>
      </xdr:grpSpPr>
      <xdr:pic>
        <xdr:nvPicPr>
          <xdr:cNvPr id="3" name="Picture 2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087" t="2667" r="30411" b="3003"/>
          <a:stretch/>
        </xdr:blipFill>
        <xdr:spPr>
          <a:xfrm>
            <a:off x="3091179" y="0"/>
            <a:ext cx="6394101" cy="7755290"/>
          </a:xfrm>
          <a:prstGeom prst="rect">
            <a:avLst/>
          </a:prstGeom>
        </xdr:spPr>
      </xdr:pic>
      <xdr:sp macro="[0]!YOVQ" textlink="">
        <xdr:nvSpPr>
          <xdr:cNvPr id="41" name="Rectangle 40"/>
          <xdr:cNvSpPr/>
        </xdr:nvSpPr>
        <xdr:spPr>
          <a:xfrm>
            <a:off x="8966198" y="4773107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DS" textlink="">
        <xdr:nvSpPr>
          <xdr:cNvPr id="43" name="Rectangle 42"/>
          <xdr:cNvSpPr/>
        </xdr:nvSpPr>
        <xdr:spPr>
          <a:xfrm>
            <a:off x="8959046" y="5842034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Btrang_muoi" textlink="">
        <xdr:nvSpPr>
          <xdr:cNvPr id="44" name="Rectangle 43"/>
          <xdr:cNvSpPr/>
        </xdr:nvSpPr>
        <xdr:spPr>
          <a:xfrm>
            <a:off x="8385809" y="6863950"/>
            <a:ext cx="412433" cy="150778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15K</a:t>
            </a:r>
          </a:p>
        </xdr:txBody>
      </xdr:sp>
      <xdr:sp macro="[0]!BLTM" textlink="">
        <xdr:nvSpPr>
          <xdr:cNvPr id="45" name="Rectangle 44"/>
          <xdr:cNvSpPr/>
        </xdr:nvSpPr>
        <xdr:spPr>
          <a:xfrm>
            <a:off x="8393896" y="7138822"/>
            <a:ext cx="412433" cy="154130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BLM" textlink="">
        <xdr:nvSpPr>
          <xdr:cNvPr id="46" name="Rectangle 45"/>
          <xdr:cNvSpPr/>
        </xdr:nvSpPr>
        <xdr:spPr>
          <a:xfrm>
            <a:off x="8393896" y="7379111"/>
            <a:ext cx="412433" cy="15412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DMDT" textlink="">
        <xdr:nvSpPr>
          <xdr:cNvPr id="47" name="Rectangle 46"/>
          <xdr:cNvSpPr/>
        </xdr:nvSpPr>
        <xdr:spPr>
          <a:xfrm>
            <a:off x="8959046" y="6017703"/>
            <a:ext cx="412433" cy="15412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DV_M" textlink="">
        <xdr:nvSpPr>
          <xdr:cNvPr id="48" name="Rectangle 47"/>
          <xdr:cNvSpPr/>
        </xdr:nvSpPr>
        <xdr:spPr>
          <a:xfrm>
            <a:off x="8370087" y="2119043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DV_L" textlink="">
        <xdr:nvSpPr>
          <xdr:cNvPr id="49" name="Rectangle 48"/>
          <xdr:cNvSpPr/>
        </xdr:nvSpPr>
        <xdr:spPr>
          <a:xfrm>
            <a:off x="8938139" y="2104217"/>
            <a:ext cx="412433" cy="15526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OLL_M" textlink="">
        <xdr:nvSpPr>
          <xdr:cNvPr id="50" name="Rectangle 49"/>
          <xdr:cNvSpPr/>
        </xdr:nvSpPr>
        <xdr:spPr>
          <a:xfrm>
            <a:off x="8376318" y="2316254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OLL_L" textlink="">
        <xdr:nvSpPr>
          <xdr:cNvPr id="51" name="Rectangle 50"/>
          <xdr:cNvSpPr/>
        </xdr:nvSpPr>
        <xdr:spPr>
          <a:xfrm>
            <a:off x="8938508" y="2308607"/>
            <a:ext cx="412433" cy="15526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GR_M" textlink="">
        <xdr:nvSpPr>
          <xdr:cNvPr id="52" name="Rectangle 51"/>
          <xdr:cNvSpPr/>
        </xdr:nvSpPr>
        <xdr:spPr>
          <a:xfrm>
            <a:off x="8376321" y="2520642"/>
            <a:ext cx="412433" cy="15412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GR_L" textlink="">
        <xdr:nvSpPr>
          <xdr:cNvPr id="53" name="Rectangle 52"/>
          <xdr:cNvSpPr/>
        </xdr:nvSpPr>
        <xdr:spPr>
          <a:xfrm>
            <a:off x="8944374" y="2512995"/>
            <a:ext cx="412433" cy="155267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CD" textlink="">
        <xdr:nvSpPr>
          <xdr:cNvPr id="54" name="Rectangle 53"/>
          <xdr:cNvSpPr/>
        </xdr:nvSpPr>
        <xdr:spPr>
          <a:xfrm>
            <a:off x="5053994" y="2422889"/>
            <a:ext cx="412433" cy="150781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C3Q" textlink="">
        <xdr:nvSpPr>
          <xdr:cNvPr id="55" name="Rectangle 54"/>
          <xdr:cNvSpPr/>
        </xdr:nvSpPr>
        <xdr:spPr>
          <a:xfrm>
            <a:off x="5061146" y="2645506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BFLAN" textlink="">
        <xdr:nvSpPr>
          <xdr:cNvPr id="56" name="Rectangle 55"/>
          <xdr:cNvSpPr/>
        </xdr:nvSpPr>
        <xdr:spPr>
          <a:xfrm>
            <a:off x="5053993" y="2855418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NCN" textlink="">
        <xdr:nvSpPr>
          <xdr:cNvPr id="57" name="Rectangle 56"/>
          <xdr:cNvSpPr/>
        </xdr:nvSpPr>
        <xdr:spPr>
          <a:xfrm>
            <a:off x="5103136" y="3181626"/>
            <a:ext cx="412433" cy="154130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PM" textlink="">
        <xdr:nvSpPr>
          <xdr:cNvPr id="58" name="Rectangle 57"/>
          <xdr:cNvSpPr/>
        </xdr:nvSpPr>
        <xdr:spPr>
          <a:xfrm>
            <a:off x="5075454" y="3622162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UDDING" textlink="">
        <xdr:nvSpPr>
          <xdr:cNvPr id="59" name="Rectangle 58"/>
          <xdr:cNvSpPr/>
        </xdr:nvSpPr>
        <xdr:spPr>
          <a:xfrm>
            <a:off x="5082607" y="3813848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MCM" textlink="">
        <xdr:nvSpPr>
          <xdr:cNvPr id="60" name="Rectangle 59"/>
          <xdr:cNvSpPr/>
        </xdr:nvSpPr>
        <xdr:spPr>
          <a:xfrm>
            <a:off x="5068299" y="4134532"/>
            <a:ext cx="412433" cy="149986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LDT" textlink="">
        <xdr:nvSpPr>
          <xdr:cNvPr id="61" name="Rectangle 60"/>
          <xdr:cNvSpPr/>
        </xdr:nvSpPr>
        <xdr:spPr>
          <a:xfrm>
            <a:off x="8959044" y="3341554"/>
            <a:ext cx="412433" cy="150780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DL" textlink="">
        <xdr:nvSpPr>
          <xdr:cNvPr id="62" name="Rectangle 61"/>
          <xdr:cNvSpPr/>
        </xdr:nvSpPr>
        <xdr:spPr>
          <a:xfrm>
            <a:off x="8959044" y="3552295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DCX" textlink="">
        <xdr:nvSpPr>
          <xdr:cNvPr id="63" name="Rectangle 62"/>
          <xdr:cNvSpPr/>
        </xdr:nvSpPr>
        <xdr:spPr>
          <a:xfrm>
            <a:off x="8959046" y="3763036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CLT" textlink="">
        <xdr:nvSpPr>
          <xdr:cNvPr id="64" name="Rectangle 63"/>
          <xdr:cNvSpPr/>
        </xdr:nvSpPr>
        <xdr:spPr>
          <a:xfrm>
            <a:off x="8959044" y="3954722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YOCD" textlink="">
        <xdr:nvSpPr>
          <xdr:cNvPr id="65" name="Rectangle 64"/>
          <xdr:cNvSpPr/>
        </xdr:nvSpPr>
        <xdr:spPr>
          <a:xfrm>
            <a:off x="8966198" y="4976928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5583534" y="6864697"/>
            <a:ext cx="1963615" cy="220227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400" b="1"/>
              <a:t>BÁNH</a:t>
            </a:r>
            <a:r>
              <a:rPr lang="en-US" sz="1400" b="1" baseline="0"/>
              <a:t> TRÁNG MUỐI</a:t>
            </a:r>
            <a:endParaRPr lang="en-US" sz="14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182880</xdr:colOff>
          <xdr:row>12</xdr:row>
          <xdr:rowOff>38100</xdr:rowOff>
        </xdr:from>
        <xdr:to>
          <xdr:col>4</xdr:col>
          <xdr:colOff>350520</xdr:colOff>
          <xdr:row>12</xdr:row>
          <xdr:rowOff>160020</xdr:rowOff>
        </xdr:to>
        <xdr:sp macro="" textlink="">
          <xdr:nvSpPr>
            <xdr:cNvPr id="4126" name="tru6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13</xdr:row>
          <xdr:rowOff>45720</xdr:rowOff>
        </xdr:from>
        <xdr:to>
          <xdr:col>4</xdr:col>
          <xdr:colOff>350520</xdr:colOff>
          <xdr:row>13</xdr:row>
          <xdr:rowOff>167640</xdr:rowOff>
        </xdr:to>
        <xdr:sp macro="" textlink="">
          <xdr:nvSpPr>
            <xdr:cNvPr id="4127" name="tru7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14</xdr:row>
          <xdr:rowOff>45720</xdr:rowOff>
        </xdr:from>
        <xdr:to>
          <xdr:col>4</xdr:col>
          <xdr:colOff>350520</xdr:colOff>
          <xdr:row>14</xdr:row>
          <xdr:rowOff>167640</xdr:rowOff>
        </xdr:to>
        <xdr:sp macro="" textlink="">
          <xdr:nvSpPr>
            <xdr:cNvPr id="4128" name="tru8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15</xdr:row>
          <xdr:rowOff>45720</xdr:rowOff>
        </xdr:from>
        <xdr:to>
          <xdr:col>4</xdr:col>
          <xdr:colOff>350520</xdr:colOff>
          <xdr:row>15</xdr:row>
          <xdr:rowOff>167640</xdr:rowOff>
        </xdr:to>
        <xdr:sp macro="" textlink="">
          <xdr:nvSpPr>
            <xdr:cNvPr id="4129" name="tru9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16</xdr:row>
          <xdr:rowOff>53340</xdr:rowOff>
        </xdr:from>
        <xdr:to>
          <xdr:col>4</xdr:col>
          <xdr:colOff>350520</xdr:colOff>
          <xdr:row>16</xdr:row>
          <xdr:rowOff>167640</xdr:rowOff>
        </xdr:to>
        <xdr:sp macro="" textlink="">
          <xdr:nvSpPr>
            <xdr:cNvPr id="4130" name="tru10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12</xdr:row>
          <xdr:rowOff>22860</xdr:rowOff>
        </xdr:from>
        <xdr:to>
          <xdr:col>4</xdr:col>
          <xdr:colOff>548640</xdr:colOff>
          <xdr:row>12</xdr:row>
          <xdr:rowOff>175260</xdr:rowOff>
        </xdr:to>
        <xdr:sp macro="" textlink="">
          <xdr:nvSpPr>
            <xdr:cNvPr id="4131" name="sl6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13</xdr:row>
          <xdr:rowOff>22860</xdr:rowOff>
        </xdr:from>
        <xdr:to>
          <xdr:col>4</xdr:col>
          <xdr:colOff>548640</xdr:colOff>
          <xdr:row>14</xdr:row>
          <xdr:rowOff>0</xdr:rowOff>
        </xdr:to>
        <xdr:sp macro="" textlink="">
          <xdr:nvSpPr>
            <xdr:cNvPr id="4132" name="sl7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14</xdr:row>
          <xdr:rowOff>22860</xdr:rowOff>
        </xdr:from>
        <xdr:to>
          <xdr:col>4</xdr:col>
          <xdr:colOff>548640</xdr:colOff>
          <xdr:row>14</xdr:row>
          <xdr:rowOff>175260</xdr:rowOff>
        </xdr:to>
        <xdr:sp macro="" textlink="">
          <xdr:nvSpPr>
            <xdr:cNvPr id="4133" name="sl8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15</xdr:row>
          <xdr:rowOff>22860</xdr:rowOff>
        </xdr:from>
        <xdr:to>
          <xdr:col>4</xdr:col>
          <xdr:colOff>548640</xdr:colOff>
          <xdr:row>15</xdr:row>
          <xdr:rowOff>175260</xdr:rowOff>
        </xdr:to>
        <xdr:sp macro="" textlink="">
          <xdr:nvSpPr>
            <xdr:cNvPr id="4134" name="sl9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16</xdr:row>
          <xdr:rowOff>15240</xdr:rowOff>
        </xdr:from>
        <xdr:to>
          <xdr:col>4</xdr:col>
          <xdr:colOff>541020</xdr:colOff>
          <xdr:row>16</xdr:row>
          <xdr:rowOff>175260</xdr:rowOff>
        </xdr:to>
        <xdr:sp macro="" textlink="">
          <xdr:nvSpPr>
            <xdr:cNvPr id="4135" name="sl10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396240</xdr:colOff>
      <xdr:row>2</xdr:row>
      <xdr:rowOff>160020</xdr:rowOff>
    </xdr:from>
    <xdr:to>
      <xdr:col>19</xdr:col>
      <xdr:colOff>329979</xdr:colOff>
      <xdr:row>25</xdr:row>
      <xdr:rowOff>42076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825" t="15086" r="24098" b="44269"/>
        <a:stretch/>
      </xdr:blipFill>
      <xdr:spPr>
        <a:xfrm>
          <a:off x="10538460" y="342900"/>
          <a:ext cx="2372139" cy="408829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2:G32" totalsRowShown="0" headerRowDxfId="13" headerRowBorderDxfId="12" tableBorderDxfId="11" totalsRowBorderDxfId="10">
  <autoFilter ref="A2:G32"/>
  <tableColumns count="7">
    <tableColumn id="1" name="STT" dataDxfId="9"/>
    <tableColumn id="2" name="TÊN" dataDxfId="8"/>
    <tableColumn id="3" name="GIÁ NHẬP" dataDxfId="7" dataCellStyle="Comma"/>
    <tableColumn id="4" name="SỐ LƯỢNG" dataDxfId="6"/>
    <tableColumn id="5" name="ĐƠN VỊ" dataDxfId="5"/>
    <tableColumn id="6" name="GIÁ ĐƠN VỊ" dataDxfId="4"/>
    <tableColumn id="7" name="GHI CHÚ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2.xml"/><Relationship Id="rId26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5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1.xml"/><Relationship Id="rId25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0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24" Type="http://schemas.openxmlformats.org/officeDocument/2006/relationships/ctrlProp" Target="../ctrlProps/ctrlProp8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23" Type="http://schemas.openxmlformats.org/officeDocument/2006/relationships/ctrlProp" Target="../ctrlProps/ctrlProp7.xml"/><Relationship Id="rId10" Type="http://schemas.openxmlformats.org/officeDocument/2006/relationships/control" Target="../activeX/activeX5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6"/>
  <sheetViews>
    <sheetView zoomScaleNormal="100" workbookViewId="0">
      <pane xSplit="1" ySplit="2" topLeftCell="B3" activePane="bottomRight" state="frozen"/>
      <selection activeCell="B27" sqref="B27"/>
      <selection pane="topRight" activeCell="B27" sqref="B27"/>
      <selection pane="bottomLeft" activeCell="B27" sqref="B27"/>
      <selection pane="bottomRight" activeCell="D40" sqref="D40"/>
    </sheetView>
  </sheetViews>
  <sheetFormatPr defaultRowHeight="14.4"/>
  <cols>
    <col min="1" max="1" width="22.21875" bestFit="1" customWidth="1"/>
    <col min="2" max="2" width="12" bestFit="1" customWidth="1"/>
    <col min="3" max="3" width="20.21875" bestFit="1" customWidth="1"/>
    <col min="4" max="4" width="17.44140625" bestFit="1" customWidth="1"/>
    <col min="5" max="5" width="16.88671875" bestFit="1" customWidth="1"/>
    <col min="10" max="10" width="22.6640625" customWidth="1"/>
    <col min="11" max="11" width="12.5546875" bestFit="1" customWidth="1"/>
    <col min="12" max="12" width="10.109375" style="24" bestFit="1" customWidth="1"/>
    <col min="14" max="14" width="11.21875" customWidth="1"/>
    <col min="15" max="15" width="9.88671875" customWidth="1"/>
    <col min="16" max="16" width="16.109375" bestFit="1" customWidth="1"/>
  </cols>
  <sheetData>
    <row r="1" spans="1:16" ht="48.6" customHeight="1" thickBot="1"/>
    <row r="2" spans="1:16" ht="31.8" customHeight="1" thickBot="1">
      <c r="A2" s="32" t="s">
        <v>5</v>
      </c>
      <c r="B2" s="115" t="s">
        <v>8</v>
      </c>
      <c r="C2" s="116"/>
      <c r="D2" s="116"/>
      <c r="E2" s="116"/>
      <c r="F2" s="116"/>
      <c r="G2" s="116"/>
      <c r="H2" s="116"/>
      <c r="I2" s="116"/>
      <c r="J2" s="116"/>
      <c r="K2" s="116"/>
      <c r="L2" s="85" t="s">
        <v>37</v>
      </c>
      <c r="M2" s="5" t="s">
        <v>38</v>
      </c>
      <c r="N2" s="5" t="s">
        <v>40</v>
      </c>
      <c r="O2" s="5" t="s">
        <v>39</v>
      </c>
      <c r="P2" s="4" t="s">
        <v>43</v>
      </c>
    </row>
    <row r="3" spans="1:16">
      <c r="A3" s="107" t="s">
        <v>52</v>
      </c>
      <c r="B3" s="6" t="s">
        <v>16</v>
      </c>
      <c r="C3" s="6" t="s">
        <v>17</v>
      </c>
      <c r="D3" s="6" t="s">
        <v>18</v>
      </c>
      <c r="E3" s="6" t="s">
        <v>19</v>
      </c>
      <c r="F3" s="6" t="s">
        <v>42</v>
      </c>
      <c r="G3" s="6"/>
      <c r="H3" s="6"/>
      <c r="I3" s="6"/>
      <c r="J3" s="6" t="s">
        <v>72</v>
      </c>
      <c r="K3" s="6" t="s">
        <v>22</v>
      </c>
      <c r="L3" s="109">
        <f>SUM(B5:K5)</f>
        <v>7368.9923076923087</v>
      </c>
      <c r="M3" s="113">
        <f>L3*0.75</f>
        <v>5526.7442307692318</v>
      </c>
      <c r="N3" s="103">
        <v>23000</v>
      </c>
      <c r="O3" s="103">
        <v>28000</v>
      </c>
      <c r="P3" s="111">
        <f>AVERAGEA(L3/N3,M3/O3)</f>
        <v>0.25888734621356907</v>
      </c>
    </row>
    <row r="4" spans="1:16">
      <c r="A4" s="105"/>
      <c r="B4" s="7">
        <v>24.9</v>
      </c>
      <c r="C4" s="7">
        <v>16.600000000000001</v>
      </c>
      <c r="D4" s="7">
        <v>43.16</v>
      </c>
      <c r="E4" s="7">
        <v>13.34</v>
      </c>
      <c r="F4" s="7">
        <v>200</v>
      </c>
      <c r="G4" s="7"/>
      <c r="H4" s="7"/>
      <c r="I4" s="7"/>
      <c r="J4" s="7">
        <v>1</v>
      </c>
      <c r="K4" s="7">
        <v>1</v>
      </c>
      <c r="L4" s="110"/>
      <c r="M4" s="114"/>
      <c r="N4" s="104"/>
      <c r="O4" s="104"/>
      <c r="P4" s="112"/>
    </row>
    <row r="5" spans="1:16">
      <c r="A5" s="105"/>
      <c r="B5" s="7">
        <f>IF(B$3="","",B4*VLOOKUP(B$3,Table1[[#All],[TÊN]:[GIÁ ĐƠN VỊ]],5,0))</f>
        <v>572.69999999999993</v>
      </c>
      <c r="C5" s="7">
        <f>IF(C$3="","",C4*VLOOKUP(C$3,Table1[[#All],[TÊN]:[GIÁ ĐƠN VỊ]],5,0))</f>
        <v>611.85897435897436</v>
      </c>
      <c r="D5" s="7">
        <f>IF(D$3="","",D4*VLOOKUP(D$3,Table1[[#All],[TÊN]:[GIÁ ĐƠN VỊ]],5,0))</f>
        <v>3452.7999999999997</v>
      </c>
      <c r="E5" s="7">
        <f>IF(E$3="","",E4*VLOOKUP(E$3,Table1[[#All],[TÊN]:[GIÁ ĐƠN VỊ]],5,0))</f>
        <v>1934.3</v>
      </c>
      <c r="F5" s="7">
        <f>IF(F$3="","",F4*VLOOKUP(F$3,Table1[[#All],[TÊN]:[GIÁ ĐƠN VỊ]],5,0))</f>
        <v>240</v>
      </c>
      <c r="G5" s="7"/>
      <c r="H5" s="7" t="str">
        <f>IF(H$3="","",H4*VLOOKUP(H$3,Table1[[#All],[TÊN]:[GIÁ ĐƠN VỊ]],5,0))</f>
        <v/>
      </c>
      <c r="I5" s="7" t="str">
        <f>IF(I$3="","",I4*VLOOKUP(I$3,Table1[[#All],[TÊN]:[GIÁ ĐƠN VỊ]],5,0))</f>
        <v/>
      </c>
      <c r="J5" s="7">
        <f>IF(J$3="","",J4*VLOOKUP(J$3,Table1[[#All],[TÊN]:[GIÁ ĐƠN VỊ]],5,0))</f>
        <v>490.66666666666669</v>
      </c>
      <c r="K5" s="7">
        <f>IF(K$3="","",K4*VLOOKUP(K$3,Table1[[#All],[TÊN]:[GIÁ ĐƠN VỊ]],5,0))</f>
        <v>66.666666666666671</v>
      </c>
      <c r="L5" s="110"/>
      <c r="M5" s="114"/>
      <c r="N5" s="104"/>
      <c r="O5" s="104"/>
      <c r="P5" s="112"/>
    </row>
    <row r="6" spans="1:16">
      <c r="A6" s="98" t="s">
        <v>53</v>
      </c>
      <c r="B6" s="21" t="s">
        <v>16</v>
      </c>
      <c r="C6" s="21" t="s">
        <v>17</v>
      </c>
      <c r="D6" s="21" t="s">
        <v>18</v>
      </c>
      <c r="E6" s="21"/>
      <c r="F6" s="21"/>
      <c r="G6" s="21"/>
      <c r="H6" s="21"/>
      <c r="I6" s="21"/>
      <c r="J6" s="21" t="s">
        <v>23</v>
      </c>
      <c r="K6" s="21" t="s">
        <v>22</v>
      </c>
      <c r="L6" s="101"/>
      <c r="M6" s="102"/>
      <c r="N6" s="103">
        <v>23000</v>
      </c>
      <c r="O6" s="103">
        <v>28000</v>
      </c>
      <c r="P6" s="102"/>
    </row>
    <row r="7" spans="1:16">
      <c r="A7" s="99"/>
      <c r="B7" s="9"/>
      <c r="C7" s="9"/>
      <c r="D7" s="9"/>
      <c r="E7" s="9"/>
      <c r="F7" s="9"/>
      <c r="G7" s="9"/>
      <c r="H7" s="9"/>
      <c r="I7" s="9"/>
      <c r="J7" s="9"/>
      <c r="K7" s="9"/>
      <c r="L7" s="101"/>
      <c r="M7" s="102"/>
      <c r="N7" s="104"/>
      <c r="O7" s="104"/>
      <c r="P7" s="102"/>
    </row>
    <row r="8" spans="1:16">
      <c r="A8" s="100"/>
      <c r="B8" s="9"/>
      <c r="C8" s="9"/>
      <c r="D8" s="9"/>
      <c r="E8" s="9"/>
      <c r="F8" s="9"/>
      <c r="G8" s="9"/>
      <c r="H8" s="9"/>
      <c r="I8" s="9"/>
      <c r="J8" s="9"/>
      <c r="K8" s="9"/>
      <c r="L8" s="101"/>
      <c r="M8" s="102"/>
      <c r="N8" s="104"/>
      <c r="O8" s="104"/>
      <c r="P8" s="102"/>
    </row>
    <row r="9" spans="1:16">
      <c r="A9" s="117" t="s">
        <v>54</v>
      </c>
      <c r="B9" s="6"/>
      <c r="C9" s="6"/>
      <c r="D9" s="6"/>
      <c r="E9" s="6"/>
      <c r="F9" s="6"/>
      <c r="G9" s="6"/>
      <c r="H9" s="6"/>
      <c r="I9" s="6"/>
      <c r="J9" s="6"/>
      <c r="K9" s="6"/>
      <c r="L9" s="101"/>
      <c r="M9" s="102"/>
      <c r="N9" s="103">
        <v>24000</v>
      </c>
      <c r="O9" s="103">
        <v>29000</v>
      </c>
      <c r="P9" s="102"/>
    </row>
    <row r="10" spans="1:16">
      <c r="A10" s="118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1"/>
      <c r="M10" s="102"/>
      <c r="N10" s="104"/>
      <c r="O10" s="104"/>
      <c r="P10" s="102"/>
    </row>
    <row r="11" spans="1:16">
      <c r="A11" s="107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1"/>
      <c r="M11" s="102"/>
      <c r="N11" s="104"/>
      <c r="O11" s="104"/>
      <c r="P11" s="102"/>
    </row>
    <row r="12" spans="1:16">
      <c r="A12" s="98" t="s">
        <v>55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101"/>
      <c r="M12" s="102"/>
      <c r="N12" s="103"/>
      <c r="O12" s="103">
        <v>35000</v>
      </c>
      <c r="P12" s="102"/>
    </row>
    <row r="13" spans="1:16">
      <c r="A13" s="99"/>
      <c r="B13" s="9"/>
      <c r="C13" s="9"/>
      <c r="D13" s="9"/>
      <c r="E13" s="9"/>
      <c r="F13" s="9"/>
      <c r="G13" s="9"/>
      <c r="H13" s="9"/>
      <c r="I13" s="9"/>
      <c r="J13" s="9"/>
      <c r="K13" s="9"/>
      <c r="L13" s="101"/>
      <c r="M13" s="102"/>
      <c r="N13" s="104"/>
      <c r="O13" s="104"/>
      <c r="P13" s="102"/>
    </row>
    <row r="14" spans="1:16">
      <c r="A14" s="100"/>
      <c r="B14" s="9"/>
      <c r="C14" s="9"/>
      <c r="D14" s="9"/>
      <c r="E14" s="9"/>
      <c r="F14" s="9"/>
      <c r="G14" s="9"/>
      <c r="H14" s="9"/>
      <c r="I14" s="9"/>
      <c r="J14" s="9"/>
      <c r="K14" s="9"/>
      <c r="L14" s="101"/>
      <c r="M14" s="102"/>
      <c r="N14" s="104"/>
      <c r="O14" s="104"/>
      <c r="P14" s="102"/>
    </row>
    <row r="15" spans="1:16">
      <c r="A15" s="107" t="s">
        <v>56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101"/>
      <c r="M15" s="102"/>
      <c r="N15" s="103"/>
      <c r="O15" s="103">
        <v>36000</v>
      </c>
      <c r="P15" s="102"/>
    </row>
    <row r="16" spans="1:16">
      <c r="A16" s="105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1"/>
      <c r="M16" s="102"/>
      <c r="N16" s="104"/>
      <c r="O16" s="104"/>
      <c r="P16" s="102"/>
    </row>
    <row r="17" spans="1:16">
      <c r="A17" s="105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1"/>
      <c r="M17" s="102"/>
      <c r="N17" s="104"/>
      <c r="O17" s="104"/>
      <c r="P17" s="102"/>
    </row>
    <row r="18" spans="1:16">
      <c r="A18" s="98" t="s">
        <v>57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101"/>
      <c r="M18" s="102"/>
      <c r="N18" s="103"/>
      <c r="O18" s="103">
        <v>36000</v>
      </c>
      <c r="P18" s="102"/>
    </row>
    <row r="19" spans="1:16">
      <c r="A19" s="99"/>
      <c r="B19" s="9"/>
      <c r="C19" s="9"/>
      <c r="D19" s="9"/>
      <c r="E19" s="9"/>
      <c r="F19" s="9"/>
      <c r="G19" s="9"/>
      <c r="H19" s="9"/>
      <c r="I19" s="9"/>
      <c r="J19" s="9"/>
      <c r="K19" s="9"/>
      <c r="L19" s="101"/>
      <c r="M19" s="102"/>
      <c r="N19" s="104"/>
      <c r="O19" s="104"/>
      <c r="P19" s="102"/>
    </row>
    <row r="20" spans="1:16">
      <c r="A20" s="100"/>
      <c r="B20" s="9"/>
      <c r="C20" s="9"/>
      <c r="D20" s="9"/>
      <c r="E20" s="9"/>
      <c r="F20" s="9"/>
      <c r="G20" s="9"/>
      <c r="H20" s="9"/>
      <c r="I20" s="9"/>
      <c r="J20" s="9"/>
      <c r="K20" s="9"/>
      <c r="L20" s="101"/>
      <c r="M20" s="102"/>
      <c r="N20" s="104"/>
      <c r="O20" s="104"/>
      <c r="P20" s="102"/>
    </row>
    <row r="21" spans="1:16">
      <c r="A21" s="107" t="s">
        <v>58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101"/>
      <c r="M21" s="102"/>
      <c r="N21" s="103"/>
      <c r="O21" s="103">
        <v>30000</v>
      </c>
      <c r="P21" s="102"/>
    </row>
    <row r="22" spans="1:16">
      <c r="A22" s="105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1"/>
      <c r="M22" s="102"/>
      <c r="N22" s="104"/>
      <c r="O22" s="104"/>
      <c r="P22" s="102"/>
    </row>
    <row r="23" spans="1:16">
      <c r="A23" s="105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1"/>
      <c r="M23" s="102"/>
      <c r="N23" s="104"/>
      <c r="O23" s="104"/>
      <c r="P23" s="102"/>
    </row>
    <row r="24" spans="1:16">
      <c r="A24" s="98" t="s">
        <v>59</v>
      </c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101"/>
      <c r="M24" s="102"/>
      <c r="N24" s="103"/>
      <c r="O24" s="103">
        <v>25000</v>
      </c>
      <c r="P24" s="102"/>
    </row>
    <row r="25" spans="1:16">
      <c r="A25" s="99"/>
      <c r="B25" s="8"/>
      <c r="C25" s="8"/>
      <c r="D25" s="8"/>
      <c r="E25" s="8"/>
      <c r="F25" s="8"/>
      <c r="G25" s="8"/>
      <c r="H25" s="8"/>
      <c r="I25" s="8"/>
      <c r="J25" s="8"/>
      <c r="K25" s="8"/>
      <c r="L25" s="101"/>
      <c r="M25" s="102"/>
      <c r="N25" s="104"/>
      <c r="O25" s="104"/>
      <c r="P25" s="102"/>
    </row>
    <row r="26" spans="1:16">
      <c r="A26" s="100"/>
      <c r="B26" s="8"/>
      <c r="C26" s="8"/>
      <c r="D26" s="8"/>
      <c r="E26" s="8"/>
      <c r="F26" s="8"/>
      <c r="G26" s="8"/>
      <c r="H26" s="8"/>
      <c r="I26" s="8"/>
      <c r="J26" s="8"/>
      <c r="K26" s="8"/>
      <c r="L26" s="101"/>
      <c r="M26" s="102"/>
      <c r="N26" s="104"/>
      <c r="O26" s="104"/>
      <c r="P26" s="102"/>
    </row>
    <row r="27" spans="1:16">
      <c r="A27" s="107" t="s">
        <v>75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101"/>
      <c r="M27" s="102"/>
      <c r="N27" s="103"/>
      <c r="O27" s="103">
        <v>32000</v>
      </c>
      <c r="P27" s="102"/>
    </row>
    <row r="28" spans="1:16">
      <c r="A28" s="105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1"/>
      <c r="M28" s="102"/>
      <c r="N28" s="104"/>
      <c r="O28" s="104"/>
      <c r="P28" s="102"/>
    </row>
    <row r="29" spans="1:16">
      <c r="A29" s="105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1"/>
      <c r="M29" s="102"/>
      <c r="N29" s="104"/>
      <c r="O29" s="104"/>
      <c r="P29" s="102"/>
    </row>
    <row r="30" spans="1:16">
      <c r="A30" s="98" t="s">
        <v>60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101"/>
      <c r="M30" s="102"/>
      <c r="N30" s="103"/>
      <c r="O30" s="103">
        <v>32000</v>
      </c>
      <c r="P30" s="102"/>
    </row>
    <row r="31" spans="1:16">
      <c r="A31" s="99"/>
      <c r="B31" s="9"/>
      <c r="C31" s="9"/>
      <c r="D31" s="9"/>
      <c r="E31" s="9"/>
      <c r="F31" s="9"/>
      <c r="G31" s="9"/>
      <c r="H31" s="9"/>
      <c r="I31" s="9"/>
      <c r="J31" s="9"/>
      <c r="K31" s="9"/>
      <c r="L31" s="101"/>
      <c r="M31" s="102"/>
      <c r="N31" s="104"/>
      <c r="O31" s="104"/>
      <c r="P31" s="102"/>
    </row>
    <row r="32" spans="1:16">
      <c r="A32" s="100"/>
      <c r="B32" s="9"/>
      <c r="C32" s="9"/>
      <c r="D32" s="9"/>
      <c r="E32" s="9"/>
      <c r="F32" s="9"/>
      <c r="G32" s="9"/>
      <c r="H32" s="9"/>
      <c r="I32" s="9"/>
      <c r="J32" s="9"/>
      <c r="K32" s="9"/>
      <c r="L32" s="101"/>
      <c r="M32" s="102"/>
      <c r="N32" s="104"/>
      <c r="O32" s="104"/>
      <c r="P32" s="102"/>
    </row>
    <row r="33" spans="1:17">
      <c r="A33" s="105" t="s">
        <v>61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106"/>
      <c r="M33" s="102"/>
      <c r="N33" s="103"/>
      <c r="O33" s="103">
        <v>28000</v>
      </c>
      <c r="P33" s="102"/>
    </row>
    <row r="34" spans="1:17">
      <c r="A34" s="105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6"/>
      <c r="M34" s="102"/>
      <c r="N34" s="104"/>
      <c r="O34" s="104"/>
      <c r="P34" s="102"/>
    </row>
    <row r="35" spans="1:17">
      <c r="A35" s="105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6"/>
      <c r="M35" s="102"/>
      <c r="N35" s="104"/>
      <c r="O35" s="104"/>
      <c r="P35" s="102"/>
    </row>
    <row r="36" spans="1:17">
      <c r="A36" s="98" t="s">
        <v>62</v>
      </c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101"/>
      <c r="M36" s="102"/>
      <c r="N36" s="103"/>
      <c r="O36" s="103">
        <v>25000</v>
      </c>
      <c r="P36" s="102"/>
    </row>
    <row r="37" spans="1:17">
      <c r="A37" s="99"/>
      <c r="B37" s="9"/>
      <c r="C37" s="9"/>
      <c r="D37" s="9"/>
      <c r="E37" s="9"/>
      <c r="F37" s="9"/>
      <c r="G37" s="9"/>
      <c r="H37" s="9"/>
      <c r="I37" s="9"/>
      <c r="J37" s="9"/>
      <c r="K37" s="9"/>
      <c r="L37" s="101"/>
      <c r="M37" s="102"/>
      <c r="N37" s="104"/>
      <c r="O37" s="104"/>
      <c r="P37" s="102"/>
    </row>
    <row r="38" spans="1:17">
      <c r="A38" s="100"/>
      <c r="B38" s="9"/>
      <c r="C38" s="9"/>
      <c r="D38" s="9"/>
      <c r="E38" s="9"/>
      <c r="F38" s="9"/>
      <c r="G38" s="9"/>
      <c r="H38" s="9"/>
      <c r="I38" s="9"/>
      <c r="J38" s="9"/>
      <c r="K38" s="9"/>
      <c r="L38" s="101"/>
      <c r="M38" s="102"/>
      <c r="N38" s="104"/>
      <c r="O38" s="104"/>
      <c r="P38" s="102"/>
    </row>
    <row r="39" spans="1:17" ht="33" customHeight="1">
      <c r="A39" s="105" t="s">
        <v>125</v>
      </c>
      <c r="B39" s="29" t="s">
        <v>21</v>
      </c>
      <c r="C39" s="29" t="s">
        <v>17</v>
      </c>
      <c r="D39" s="29"/>
      <c r="E39" s="29"/>
      <c r="F39" s="6" t="s">
        <v>42</v>
      </c>
      <c r="G39" s="29"/>
      <c r="H39" s="29"/>
      <c r="I39" s="29"/>
      <c r="J39" s="29" t="s">
        <v>74</v>
      </c>
      <c r="K39" s="29"/>
      <c r="L39" s="106">
        <f>SUM(B41:J41)</f>
        <v>6786.3461538461543</v>
      </c>
      <c r="M39" s="102"/>
      <c r="N39" s="103"/>
      <c r="O39" s="103">
        <v>15000</v>
      </c>
      <c r="P39" s="134">
        <f>L39/O39</f>
        <v>0.45242307692307693</v>
      </c>
    </row>
    <row r="40" spans="1:17">
      <c r="A40" s="105"/>
      <c r="B40" s="10">
        <v>19</v>
      </c>
      <c r="C40" s="10">
        <v>33</v>
      </c>
      <c r="D40" s="10"/>
      <c r="E40" s="10"/>
      <c r="F40" s="10">
        <v>100</v>
      </c>
      <c r="G40" s="10"/>
      <c r="H40" s="10"/>
      <c r="I40" s="10"/>
      <c r="J40" s="10">
        <v>1</v>
      </c>
      <c r="K40" s="10"/>
      <c r="L40" s="106"/>
      <c r="M40" s="102"/>
      <c r="N40" s="104"/>
      <c r="O40" s="104"/>
      <c r="P40" s="134"/>
    </row>
    <row r="41" spans="1:17">
      <c r="A41" s="105"/>
      <c r="B41" s="7">
        <f>IF(B$39="","",B40*VLOOKUP(B$39,Table1[[#All],[TÊN]:[GIÁ ĐƠN VỊ]],5,0))</f>
        <v>4370</v>
      </c>
      <c r="C41" s="7">
        <f>IF(C$39="","",C40*VLOOKUP(C$39,Table1[[#All],[TÊN]:[GIÁ ĐƠN VỊ]],5,0))</f>
        <v>1216.3461538461538</v>
      </c>
      <c r="D41" s="7" t="str">
        <f>IF(D$39="","",D40*VLOOKUP(D$39,Table1[[#All],[TÊN]:[GIÁ ĐƠN VỊ]],5,0))</f>
        <v/>
      </c>
      <c r="E41" s="7" t="str">
        <f>IF(E$39="","",E40*VLOOKUP(E$39,Table1[[#All],[TÊN]:[GIÁ ĐƠN VỊ]],5,0))</f>
        <v/>
      </c>
      <c r="F41" s="7">
        <f>IF(F$39="","",F40*VLOOKUP(F$39,Table1[[#All],[TÊN]:[GIÁ ĐƠN VỊ]],5,0))</f>
        <v>120</v>
      </c>
      <c r="G41" s="7" t="str">
        <f>IF(G$39="","",G40*VLOOKUP(G$39,Table1[[#All],[TÊN]:[GIÁ ĐƠN VỊ]],5,0))</f>
        <v/>
      </c>
      <c r="H41" s="7" t="str">
        <f>IF(H$39="","",H40*VLOOKUP(H$39,Table1[[#All],[TÊN]:[GIÁ ĐƠN VỊ]],5,0))</f>
        <v/>
      </c>
      <c r="I41" s="7" t="str">
        <f>IF(I$39="","",I40*VLOOKUP(I$39,Table1[[#All],[TÊN]:[GIÁ ĐƠN VỊ]],5,0))</f>
        <v/>
      </c>
      <c r="J41" s="7">
        <f>IF(J$39="","",J40*VLOOKUP(J$39,Table1[[#All],[TÊN]:[GIÁ ĐƠN VỊ]],5,0))</f>
        <v>1080</v>
      </c>
      <c r="K41" s="7" t="str">
        <f>IF(K$39="","",K40*VLOOKUP(K$39,Table1[[#All],[TÊN]:[GIÁ ĐƠN VỊ]],5,0))</f>
        <v/>
      </c>
      <c r="L41" s="106"/>
      <c r="M41" s="102"/>
      <c r="N41" s="104"/>
      <c r="O41" s="104"/>
      <c r="P41" s="134"/>
    </row>
    <row r="42" spans="1:17">
      <c r="A42" s="98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101"/>
      <c r="M42" s="102"/>
      <c r="N42" s="103"/>
      <c r="O42" s="103">
        <v>25000</v>
      </c>
      <c r="P42" s="102"/>
    </row>
    <row r="43" spans="1:17">
      <c r="A43" s="99"/>
      <c r="B43" s="9"/>
      <c r="C43" s="9"/>
      <c r="D43" s="9"/>
      <c r="E43" s="9"/>
      <c r="F43" s="9"/>
      <c r="G43" s="9"/>
      <c r="H43" s="9"/>
      <c r="I43" s="9"/>
      <c r="J43" s="9"/>
      <c r="K43" s="9"/>
      <c r="L43" s="101"/>
      <c r="M43" s="102"/>
      <c r="N43" s="104"/>
      <c r="O43" s="104"/>
      <c r="P43" s="102"/>
    </row>
    <row r="44" spans="1:17">
      <c r="A44" s="100"/>
      <c r="B44" s="9"/>
      <c r="C44" s="9"/>
      <c r="D44" s="9"/>
      <c r="E44" s="9"/>
      <c r="F44" s="9"/>
      <c r="G44" s="9"/>
      <c r="H44" s="9"/>
      <c r="I44" s="9"/>
      <c r="J44" s="9"/>
      <c r="K44" s="9"/>
      <c r="L44" s="101"/>
      <c r="M44" s="102"/>
      <c r="N44" s="104"/>
      <c r="O44" s="104"/>
      <c r="P44" s="102"/>
    </row>
    <row r="45" spans="1:17" ht="23.4">
      <c r="A45" s="31" t="s">
        <v>48</v>
      </c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87"/>
      <c r="M45" s="28"/>
      <c r="N45" s="28"/>
      <c r="O45" s="28"/>
      <c r="P45" s="28"/>
    </row>
    <row r="46" spans="1:17">
      <c r="A46" s="108" t="s">
        <v>63</v>
      </c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106"/>
      <c r="M46" s="102"/>
      <c r="N46" s="103"/>
      <c r="O46" s="103">
        <v>6000</v>
      </c>
      <c r="P46" s="102"/>
    </row>
    <row r="47" spans="1:17">
      <c r="A47" s="108"/>
      <c r="B47" s="9"/>
      <c r="C47" s="9"/>
      <c r="D47" s="9"/>
      <c r="E47" s="9"/>
      <c r="F47" s="9"/>
      <c r="G47" s="9"/>
      <c r="H47" s="9"/>
      <c r="I47" s="9"/>
      <c r="J47" s="9"/>
      <c r="K47" s="9"/>
      <c r="L47" s="106"/>
      <c r="M47" s="102"/>
      <c r="N47" s="104"/>
      <c r="O47" s="104"/>
      <c r="P47" s="102"/>
      <c r="Q47" s="2"/>
    </row>
    <row r="48" spans="1:17">
      <c r="A48" s="108"/>
      <c r="B48" s="9"/>
      <c r="C48" s="9"/>
      <c r="D48" s="9"/>
      <c r="E48" s="9"/>
      <c r="F48" s="9"/>
      <c r="G48" s="9"/>
      <c r="H48" s="9"/>
      <c r="I48" s="9"/>
      <c r="J48" s="9"/>
      <c r="K48" s="9"/>
      <c r="L48" s="106"/>
      <c r="M48" s="102"/>
      <c r="N48" s="104"/>
      <c r="O48" s="104"/>
      <c r="P48" s="102"/>
    </row>
    <row r="49" spans="1:17">
      <c r="A49" s="107" t="s">
        <v>64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101"/>
      <c r="M49" s="102"/>
      <c r="N49" s="103"/>
      <c r="O49" s="103">
        <v>6000</v>
      </c>
      <c r="P49" s="102"/>
    </row>
    <row r="50" spans="1:17">
      <c r="A50" s="105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1"/>
      <c r="M50" s="102"/>
      <c r="N50" s="104"/>
      <c r="O50" s="104"/>
      <c r="P50" s="102"/>
    </row>
    <row r="51" spans="1:17">
      <c r="A51" s="105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1"/>
      <c r="M51" s="102"/>
      <c r="N51" s="104"/>
      <c r="O51" s="104"/>
      <c r="P51" s="102"/>
    </row>
    <row r="52" spans="1:17">
      <c r="A52" s="98" t="s">
        <v>65</v>
      </c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101"/>
      <c r="M52" s="102"/>
      <c r="N52" s="103"/>
      <c r="O52" s="103">
        <v>7000</v>
      </c>
      <c r="P52" s="102"/>
    </row>
    <row r="53" spans="1:17">
      <c r="A53" s="99" t="s">
        <v>6</v>
      </c>
      <c r="B53" s="9"/>
      <c r="C53" s="9"/>
      <c r="D53" s="9"/>
      <c r="E53" s="9"/>
      <c r="F53" s="9"/>
      <c r="G53" s="9"/>
      <c r="H53" s="9"/>
      <c r="I53" s="9"/>
      <c r="J53" s="9"/>
      <c r="K53" s="9"/>
      <c r="L53" s="101"/>
      <c r="M53" s="102"/>
      <c r="N53" s="104"/>
      <c r="O53" s="104"/>
      <c r="P53" s="102"/>
    </row>
    <row r="54" spans="1:17">
      <c r="A54" s="100" t="s">
        <v>7</v>
      </c>
      <c r="B54" s="9"/>
      <c r="C54" s="9"/>
      <c r="D54" s="9"/>
      <c r="E54" s="9"/>
      <c r="F54" s="9"/>
      <c r="G54" s="9"/>
      <c r="H54" s="9"/>
      <c r="I54" s="9"/>
      <c r="J54" s="9"/>
      <c r="K54" s="9"/>
      <c r="L54" s="101"/>
      <c r="M54" s="102"/>
      <c r="N54" s="104"/>
      <c r="O54" s="104"/>
      <c r="P54" s="102"/>
    </row>
    <row r="55" spans="1:17">
      <c r="A55" s="107" t="s">
        <v>66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106"/>
      <c r="M55" s="102"/>
      <c r="N55" s="103"/>
      <c r="O55" s="103">
        <v>6000</v>
      </c>
      <c r="P55" s="102"/>
    </row>
    <row r="56" spans="1:17">
      <c r="A56" s="105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6"/>
      <c r="M56" s="102"/>
      <c r="N56" s="104"/>
      <c r="O56" s="104"/>
      <c r="P56" s="102"/>
      <c r="Q56" s="2"/>
    </row>
    <row r="57" spans="1:17">
      <c r="A57" s="105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6"/>
      <c r="M57" s="102"/>
      <c r="N57" s="104"/>
      <c r="O57" s="104"/>
      <c r="P57" s="102"/>
    </row>
    <row r="58" spans="1:17">
      <c r="A58" s="107" t="s">
        <v>67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101"/>
      <c r="M58" s="102"/>
      <c r="N58" s="103"/>
      <c r="O58" s="103">
        <v>6000</v>
      </c>
      <c r="P58" s="102"/>
    </row>
    <row r="59" spans="1:17">
      <c r="A59" s="105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1"/>
      <c r="M59" s="102"/>
      <c r="N59" s="104"/>
      <c r="O59" s="104"/>
      <c r="P59" s="102"/>
    </row>
    <row r="60" spans="1:17">
      <c r="A60" s="105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1"/>
      <c r="M60" s="102"/>
      <c r="N60" s="104"/>
      <c r="O60" s="104"/>
      <c r="P60" s="102"/>
    </row>
    <row r="61" spans="1:17" ht="33" customHeight="1">
      <c r="A61" s="98" t="s">
        <v>68</v>
      </c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101"/>
      <c r="M61" s="102"/>
      <c r="N61" s="103"/>
      <c r="O61" s="103">
        <v>6000</v>
      </c>
      <c r="P61" s="102"/>
    </row>
    <row r="62" spans="1:17">
      <c r="A62" s="99" t="s">
        <v>6</v>
      </c>
      <c r="B62" s="9"/>
      <c r="C62" s="9"/>
      <c r="D62" s="9"/>
      <c r="E62" s="9"/>
      <c r="F62" s="9"/>
      <c r="G62" s="9"/>
      <c r="H62" s="9"/>
      <c r="I62" s="9"/>
      <c r="J62" s="9"/>
      <c r="K62" s="9"/>
      <c r="L62" s="101"/>
      <c r="M62" s="102"/>
      <c r="N62" s="104"/>
      <c r="O62" s="104"/>
      <c r="P62" s="102"/>
    </row>
    <row r="63" spans="1:17">
      <c r="A63" s="100" t="s">
        <v>7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101"/>
      <c r="M63" s="102"/>
      <c r="N63" s="104"/>
      <c r="O63" s="104"/>
      <c r="P63" s="102"/>
    </row>
    <row r="64" spans="1:17">
      <c r="A64" s="107" t="s">
        <v>69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106"/>
      <c r="M64" s="102"/>
      <c r="N64" s="103"/>
      <c r="O64" s="103">
        <v>7000</v>
      </c>
      <c r="P64" s="102"/>
    </row>
    <row r="65" spans="1:17">
      <c r="A65" s="105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6"/>
      <c r="M65" s="102"/>
      <c r="N65" s="104"/>
      <c r="O65" s="104"/>
      <c r="P65" s="102"/>
    </row>
    <row r="66" spans="1:17">
      <c r="A66" s="105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6"/>
      <c r="M66" s="102"/>
      <c r="N66" s="104"/>
      <c r="O66" s="104"/>
      <c r="P66" s="102"/>
    </row>
    <row r="67" spans="1:17" ht="23.4">
      <c r="A67" s="31" t="s">
        <v>51</v>
      </c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87"/>
      <c r="M67" s="28"/>
      <c r="N67" s="28"/>
      <c r="O67" s="28"/>
      <c r="P67" s="28"/>
    </row>
    <row r="68" spans="1:17">
      <c r="A68" s="108" t="s">
        <v>91</v>
      </c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106"/>
      <c r="M68" s="102"/>
      <c r="N68" s="103"/>
      <c r="O68" s="103">
        <v>15000</v>
      </c>
      <c r="P68" s="102"/>
    </row>
    <row r="69" spans="1:17">
      <c r="A69" s="108"/>
      <c r="B69" s="9"/>
      <c r="C69" s="9"/>
      <c r="D69" s="9"/>
      <c r="E69" s="9"/>
      <c r="F69" s="9"/>
      <c r="G69" s="9"/>
      <c r="H69" s="9"/>
      <c r="I69" s="9"/>
      <c r="J69" s="9"/>
      <c r="K69" s="9"/>
      <c r="L69" s="106"/>
      <c r="M69" s="102"/>
      <c r="N69" s="104"/>
      <c r="O69" s="104"/>
      <c r="P69" s="102"/>
      <c r="Q69" s="2"/>
    </row>
    <row r="70" spans="1:17">
      <c r="A70" s="108"/>
      <c r="B70" s="9"/>
      <c r="C70" s="9"/>
      <c r="D70" s="9"/>
      <c r="E70" s="9"/>
      <c r="F70" s="9"/>
      <c r="G70" s="9"/>
      <c r="H70" s="9"/>
      <c r="I70" s="9"/>
      <c r="J70" s="9"/>
      <c r="K70" s="9"/>
      <c r="L70" s="106"/>
      <c r="M70" s="102"/>
      <c r="N70" s="104"/>
      <c r="O70" s="104"/>
      <c r="P70" s="102"/>
    </row>
    <row r="71" spans="1:17">
      <c r="A71" s="107" t="s">
        <v>70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101"/>
      <c r="M71" s="102"/>
      <c r="N71" s="103"/>
      <c r="O71" s="103">
        <v>15000</v>
      </c>
      <c r="P71" s="102"/>
    </row>
    <row r="72" spans="1:17">
      <c r="A72" s="105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1"/>
      <c r="M72" s="102"/>
      <c r="N72" s="104"/>
      <c r="O72" s="104"/>
      <c r="P72" s="102"/>
    </row>
    <row r="73" spans="1:17">
      <c r="A73" s="105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1"/>
      <c r="M73" s="102"/>
      <c r="N73" s="104"/>
      <c r="O73" s="104"/>
      <c r="P73" s="102"/>
    </row>
    <row r="74" spans="1:17">
      <c r="A74" s="98" t="s">
        <v>71</v>
      </c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101"/>
      <c r="M74" s="102"/>
      <c r="N74" s="103"/>
      <c r="O74" s="103">
        <v>15000</v>
      </c>
      <c r="P74" s="102"/>
    </row>
    <row r="75" spans="1:17">
      <c r="A75" s="99" t="s">
        <v>6</v>
      </c>
      <c r="B75" s="9"/>
      <c r="C75" s="9"/>
      <c r="D75" s="9"/>
      <c r="E75" s="9"/>
      <c r="F75" s="9"/>
      <c r="G75" s="9"/>
      <c r="H75" s="9"/>
      <c r="I75" s="9"/>
      <c r="J75" s="9"/>
      <c r="K75" s="9"/>
      <c r="L75" s="101"/>
      <c r="M75" s="102"/>
      <c r="N75" s="104"/>
      <c r="O75" s="104"/>
      <c r="P75" s="102"/>
    </row>
    <row r="76" spans="1:17">
      <c r="A76" s="100" t="s">
        <v>7</v>
      </c>
      <c r="B76" s="9"/>
      <c r="C76" s="9"/>
      <c r="D76" s="9"/>
      <c r="E76" s="9"/>
      <c r="F76" s="9"/>
      <c r="G76" s="9"/>
      <c r="H76" s="9"/>
      <c r="I76" s="9"/>
      <c r="J76" s="9"/>
      <c r="K76" s="9"/>
      <c r="L76" s="101"/>
      <c r="M76" s="102"/>
      <c r="N76" s="104"/>
      <c r="O76" s="104"/>
      <c r="P76" s="102"/>
    </row>
  </sheetData>
  <mergeCells count="145">
    <mergeCell ref="A27:A29"/>
    <mergeCell ref="A39:A41"/>
    <mergeCell ref="A30:A32"/>
    <mergeCell ref="A42:A44"/>
    <mergeCell ref="B2:K2"/>
    <mergeCell ref="A3:A5"/>
    <mergeCell ref="A6:A8"/>
    <mergeCell ref="A9:A11"/>
    <mergeCell ref="A12:A14"/>
    <mergeCell ref="A15:A17"/>
    <mergeCell ref="A18:A20"/>
    <mergeCell ref="A21:A23"/>
    <mergeCell ref="A24:A26"/>
    <mergeCell ref="L3:L5"/>
    <mergeCell ref="O3:O5"/>
    <mergeCell ref="P3:P5"/>
    <mergeCell ref="L6:L8"/>
    <mergeCell ref="O6:O8"/>
    <mergeCell ref="P6:P8"/>
    <mergeCell ref="N3:N5"/>
    <mergeCell ref="N6:N8"/>
    <mergeCell ref="M3:M5"/>
    <mergeCell ref="M6:M8"/>
    <mergeCell ref="L9:L11"/>
    <mergeCell ref="O9:O11"/>
    <mergeCell ref="P9:P11"/>
    <mergeCell ref="L12:L14"/>
    <mergeCell ref="O12:O14"/>
    <mergeCell ref="P12:P14"/>
    <mergeCell ref="N9:N11"/>
    <mergeCell ref="N12:N14"/>
    <mergeCell ref="M9:M11"/>
    <mergeCell ref="M12:M14"/>
    <mergeCell ref="L15:L17"/>
    <mergeCell ref="O15:O17"/>
    <mergeCell ref="P15:P17"/>
    <mergeCell ref="L18:L20"/>
    <mergeCell ref="O18:O20"/>
    <mergeCell ref="P18:P20"/>
    <mergeCell ref="N15:N17"/>
    <mergeCell ref="N18:N20"/>
    <mergeCell ref="M15:M17"/>
    <mergeCell ref="M18:M20"/>
    <mergeCell ref="L21:L23"/>
    <mergeCell ref="O21:O23"/>
    <mergeCell ref="P21:P23"/>
    <mergeCell ref="L24:L26"/>
    <mergeCell ref="O24:O26"/>
    <mergeCell ref="P24:P26"/>
    <mergeCell ref="N21:N23"/>
    <mergeCell ref="N24:N26"/>
    <mergeCell ref="M21:M23"/>
    <mergeCell ref="M24:M26"/>
    <mergeCell ref="L27:L29"/>
    <mergeCell ref="O27:O29"/>
    <mergeCell ref="P27:P29"/>
    <mergeCell ref="L39:L41"/>
    <mergeCell ref="O39:O41"/>
    <mergeCell ref="P39:P41"/>
    <mergeCell ref="N27:N29"/>
    <mergeCell ref="N39:N41"/>
    <mergeCell ref="M27:M29"/>
    <mergeCell ref="M39:M41"/>
    <mergeCell ref="L30:L32"/>
    <mergeCell ref="M30:M32"/>
    <mergeCell ref="N30:N32"/>
    <mergeCell ref="O30:O32"/>
    <mergeCell ref="P30:P32"/>
    <mergeCell ref="P64:P66"/>
    <mergeCell ref="L46:L48"/>
    <mergeCell ref="O46:O48"/>
    <mergeCell ref="P46:P48"/>
    <mergeCell ref="L58:L60"/>
    <mergeCell ref="O58:O60"/>
    <mergeCell ref="P58:P60"/>
    <mergeCell ref="L61:L63"/>
    <mergeCell ref="O61:O63"/>
    <mergeCell ref="P61:P63"/>
    <mergeCell ref="L64:L66"/>
    <mergeCell ref="N46:N48"/>
    <mergeCell ref="N58:N60"/>
    <mergeCell ref="N61:N63"/>
    <mergeCell ref="N64:N66"/>
    <mergeCell ref="M46:M48"/>
    <mergeCell ref="O64:O66"/>
    <mergeCell ref="M58:M60"/>
    <mergeCell ref="M61:M63"/>
    <mergeCell ref="M64:M66"/>
    <mergeCell ref="P49:P51"/>
    <mergeCell ref="N55:N57"/>
    <mergeCell ref="O55:O57"/>
    <mergeCell ref="P55:P57"/>
    <mergeCell ref="A52:A54"/>
    <mergeCell ref="L52:L54"/>
    <mergeCell ref="M52:M54"/>
    <mergeCell ref="N52:N54"/>
    <mergeCell ref="O52:O54"/>
    <mergeCell ref="P52:P54"/>
    <mergeCell ref="L42:L44"/>
    <mergeCell ref="M42:M44"/>
    <mergeCell ref="N42:N44"/>
    <mergeCell ref="O42:O44"/>
    <mergeCell ref="P42:P44"/>
    <mergeCell ref="A46:A48"/>
    <mergeCell ref="A49:A51"/>
    <mergeCell ref="L49:L51"/>
    <mergeCell ref="M49:M51"/>
    <mergeCell ref="N49:N51"/>
    <mergeCell ref="O49:O51"/>
    <mergeCell ref="A55:A57"/>
    <mergeCell ref="L55:L57"/>
    <mergeCell ref="M55:M57"/>
    <mergeCell ref="P71:P73"/>
    <mergeCell ref="A74:A76"/>
    <mergeCell ref="L74:L76"/>
    <mergeCell ref="M74:M76"/>
    <mergeCell ref="N74:N76"/>
    <mergeCell ref="O74:O76"/>
    <mergeCell ref="P74:P76"/>
    <mergeCell ref="A71:A73"/>
    <mergeCell ref="L71:L73"/>
    <mergeCell ref="M71:M73"/>
    <mergeCell ref="N71:N73"/>
    <mergeCell ref="O71:O73"/>
    <mergeCell ref="A68:A70"/>
    <mergeCell ref="L68:L70"/>
    <mergeCell ref="M68:M70"/>
    <mergeCell ref="N68:N70"/>
    <mergeCell ref="O68:O70"/>
    <mergeCell ref="P68:P70"/>
    <mergeCell ref="A61:A63"/>
    <mergeCell ref="A58:A60"/>
    <mergeCell ref="A64:A66"/>
    <mergeCell ref="A36:A38"/>
    <mergeCell ref="L36:L38"/>
    <mergeCell ref="M36:M38"/>
    <mergeCell ref="N36:N38"/>
    <mergeCell ref="O36:O38"/>
    <mergeCell ref="P36:P38"/>
    <mergeCell ref="A33:A35"/>
    <mergeCell ref="L33:L35"/>
    <mergeCell ref="M33:M35"/>
    <mergeCell ref="N33:N35"/>
    <mergeCell ref="O33:O35"/>
    <mergeCell ref="P33:P35"/>
  </mergeCells>
  <pageMargins left="0.7" right="0.7" top="0.75" bottom="0.75" header="0.3" footer="0.3"/>
  <pageSetup scale="4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MATERIAL!$B$2:$B$22</xm:f>
          </x14:formula1>
          <xm:sqref>B64:K64 B71:K71 B74:K74 B68:K68 B49:K49 B52:K52 B55:K55 B33:K33 B30:K30 B58:K58 B61:K61 B46:K46 B6:K6 B9:K9 B12:K12 B15:K15 B18:K18 B21:K21 B24:K24 B27:K27 B42:K42 B36:K36 B39:E39 G39:K39</xm:sqref>
        </x14:dataValidation>
        <x14:dataValidation type="list" allowBlank="1" showInputMessage="1" showErrorMessage="1">
          <x14:formula1>
            <xm:f>MATERIAL!$B$2:$B$27</xm:f>
          </x14:formula1>
          <xm:sqref>B3:K3 F39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2"/>
  <sheetViews>
    <sheetView workbookViewId="0">
      <selection activeCell="L17" sqref="L17"/>
    </sheetView>
  </sheetViews>
  <sheetFormatPr defaultRowHeight="14.4"/>
  <cols>
    <col min="1" max="1" width="5.88671875" customWidth="1"/>
    <col min="2" max="2" width="22.44140625" customWidth="1"/>
    <col min="3" max="3" width="13.21875" customWidth="1"/>
    <col min="4" max="4" width="14.33203125" customWidth="1"/>
    <col min="5" max="5" width="9.77734375" customWidth="1"/>
    <col min="6" max="6" width="12.77734375" customWidth="1"/>
    <col min="7" max="7" width="34.44140625" customWidth="1"/>
    <col min="12" max="12" width="12" bestFit="1" customWidth="1"/>
  </cols>
  <sheetData>
    <row r="1" spans="1:7" ht="40.799999999999997" customHeight="1">
      <c r="B1" s="11"/>
    </row>
    <row r="2" spans="1:7">
      <c r="A2" s="12" t="s">
        <v>9</v>
      </c>
      <c r="B2" s="3" t="s">
        <v>10</v>
      </c>
      <c r="C2" s="3" t="s">
        <v>11</v>
      </c>
      <c r="D2" s="3" t="s">
        <v>12</v>
      </c>
      <c r="E2" s="3" t="s">
        <v>13</v>
      </c>
      <c r="F2" s="3" t="s">
        <v>14</v>
      </c>
      <c r="G2" s="13" t="s">
        <v>15</v>
      </c>
    </row>
    <row r="3" spans="1:7">
      <c r="A3" s="14">
        <v>1</v>
      </c>
      <c r="B3" s="1" t="s">
        <v>16</v>
      </c>
      <c r="C3" s="15">
        <v>23000</v>
      </c>
      <c r="D3" s="1">
        <v>1000</v>
      </c>
      <c r="E3" s="1" t="s">
        <v>29</v>
      </c>
      <c r="F3" s="22">
        <f>C3/D3</f>
        <v>23</v>
      </c>
      <c r="G3" s="16"/>
    </row>
    <row r="4" spans="1:7">
      <c r="A4" s="14">
        <v>2</v>
      </c>
      <c r="B4" s="1" t="s">
        <v>17</v>
      </c>
      <c r="C4" s="15">
        <v>46000</v>
      </c>
      <c r="D4" s="1">
        <v>1248</v>
      </c>
      <c r="E4" s="1" t="s">
        <v>29</v>
      </c>
      <c r="F4" s="22">
        <f>C4/D4</f>
        <v>36.858974358974358</v>
      </c>
      <c r="G4" s="16"/>
    </row>
    <row r="5" spans="1:7">
      <c r="A5" s="14">
        <v>3</v>
      </c>
      <c r="B5" s="1" t="s">
        <v>18</v>
      </c>
      <c r="C5" s="15">
        <v>80000</v>
      </c>
      <c r="D5" s="1">
        <v>1000</v>
      </c>
      <c r="E5" s="1" t="s">
        <v>29</v>
      </c>
      <c r="F5" s="22">
        <f t="shared" ref="F5:F23" si="0">C5/D5</f>
        <v>80</v>
      </c>
      <c r="G5" s="16"/>
    </row>
    <row r="6" spans="1:7">
      <c r="A6" s="14">
        <v>4</v>
      </c>
      <c r="B6" s="1" t="s">
        <v>19</v>
      </c>
      <c r="C6" s="15">
        <v>145000</v>
      </c>
      <c r="D6" s="1">
        <v>1000</v>
      </c>
      <c r="E6" s="1" t="s">
        <v>29</v>
      </c>
      <c r="F6" s="22">
        <f t="shared" si="0"/>
        <v>145</v>
      </c>
      <c r="G6" s="16"/>
    </row>
    <row r="7" spans="1:7">
      <c r="A7" s="14">
        <v>5</v>
      </c>
      <c r="B7" s="1" t="s">
        <v>20</v>
      </c>
      <c r="C7" s="15"/>
      <c r="D7" s="1"/>
      <c r="E7" s="1"/>
      <c r="F7" s="22" t="e">
        <f t="shared" si="0"/>
        <v>#DIV/0!</v>
      </c>
      <c r="G7" s="16"/>
    </row>
    <row r="8" spans="1:7">
      <c r="A8" s="14">
        <v>6</v>
      </c>
      <c r="B8" s="1" t="s">
        <v>21</v>
      </c>
      <c r="C8" s="15">
        <v>230000</v>
      </c>
      <c r="D8" s="1">
        <v>1000</v>
      </c>
      <c r="E8" s="1" t="s">
        <v>29</v>
      </c>
      <c r="F8" s="22">
        <f t="shared" si="0"/>
        <v>230</v>
      </c>
      <c r="G8" s="16"/>
    </row>
    <row r="9" spans="1:7">
      <c r="A9" s="14">
        <v>7</v>
      </c>
      <c r="B9" s="1" t="s">
        <v>24</v>
      </c>
      <c r="C9" s="15"/>
      <c r="D9" s="1"/>
      <c r="E9" s="1"/>
      <c r="F9" s="22" t="e">
        <f t="shared" si="0"/>
        <v>#DIV/0!</v>
      </c>
      <c r="G9" s="16"/>
    </row>
    <row r="10" spans="1:7">
      <c r="A10" s="14">
        <v>8</v>
      </c>
      <c r="B10" s="1" t="s">
        <v>25</v>
      </c>
      <c r="C10" s="15"/>
      <c r="D10" s="1"/>
      <c r="E10" s="1"/>
      <c r="F10" s="22" t="e">
        <f t="shared" si="0"/>
        <v>#DIV/0!</v>
      </c>
      <c r="G10" s="16"/>
    </row>
    <row r="11" spans="1:7">
      <c r="A11" s="14">
        <v>9</v>
      </c>
      <c r="B11" s="1" t="s">
        <v>26</v>
      </c>
      <c r="C11" s="15"/>
      <c r="D11" s="1"/>
      <c r="E11" s="1"/>
      <c r="F11" s="22" t="e">
        <f t="shared" si="0"/>
        <v>#DIV/0!</v>
      </c>
      <c r="G11" s="16"/>
    </row>
    <row r="12" spans="1:7">
      <c r="A12" s="14">
        <v>10</v>
      </c>
      <c r="B12" s="1" t="s">
        <v>27</v>
      </c>
      <c r="C12" s="15"/>
      <c r="D12" s="1"/>
      <c r="E12" s="1"/>
      <c r="F12" s="22" t="e">
        <f t="shared" si="0"/>
        <v>#DIV/0!</v>
      </c>
      <c r="G12" s="16"/>
    </row>
    <row r="13" spans="1:7">
      <c r="A13" s="14">
        <v>11</v>
      </c>
      <c r="B13" s="1" t="s">
        <v>28</v>
      </c>
      <c r="C13" s="15"/>
      <c r="D13" s="1"/>
      <c r="E13" s="1"/>
      <c r="F13" s="22" t="e">
        <f t="shared" si="0"/>
        <v>#DIV/0!</v>
      </c>
      <c r="G13" s="16"/>
    </row>
    <row r="14" spans="1:7">
      <c r="A14" s="14">
        <v>12</v>
      </c>
      <c r="B14" s="1" t="s">
        <v>30</v>
      </c>
      <c r="C14" s="15"/>
      <c r="D14" s="1"/>
      <c r="E14" s="1"/>
      <c r="F14" s="22" t="e">
        <f t="shared" si="0"/>
        <v>#DIV/0!</v>
      </c>
      <c r="G14" s="16"/>
    </row>
    <row r="15" spans="1:7">
      <c r="A15" s="14">
        <v>13</v>
      </c>
      <c r="B15" s="1" t="s">
        <v>31</v>
      </c>
      <c r="C15" s="15"/>
      <c r="D15" s="1"/>
      <c r="E15" s="1"/>
      <c r="F15" s="22" t="e">
        <f t="shared" si="0"/>
        <v>#DIV/0!</v>
      </c>
      <c r="G15" s="16" t="s">
        <v>34</v>
      </c>
    </row>
    <row r="16" spans="1:7">
      <c r="A16" s="14">
        <v>14</v>
      </c>
      <c r="B16" s="1" t="s">
        <v>33</v>
      </c>
      <c r="C16" s="15"/>
      <c r="D16" s="1"/>
      <c r="E16" s="1"/>
      <c r="F16" s="22" t="e">
        <f t="shared" si="0"/>
        <v>#DIV/0!</v>
      </c>
      <c r="G16" s="16" t="s">
        <v>32</v>
      </c>
    </row>
    <row r="17" spans="1:7">
      <c r="A17" s="14">
        <v>16</v>
      </c>
      <c r="B17" s="1" t="s">
        <v>36</v>
      </c>
      <c r="C17" s="15"/>
      <c r="D17" s="1"/>
      <c r="E17" s="1"/>
      <c r="F17" s="22" t="e">
        <f t="shared" si="0"/>
        <v>#DIV/0!</v>
      </c>
      <c r="G17" s="16"/>
    </row>
    <row r="18" spans="1:7">
      <c r="A18" s="14">
        <v>17</v>
      </c>
      <c r="B18" s="1" t="s">
        <v>35</v>
      </c>
      <c r="C18" s="15"/>
      <c r="D18" s="1"/>
      <c r="E18" s="1"/>
      <c r="F18" s="22" t="e">
        <f t="shared" si="0"/>
        <v>#DIV/0!</v>
      </c>
      <c r="G18" s="16"/>
    </row>
    <row r="19" spans="1:7">
      <c r="A19" s="14">
        <v>18</v>
      </c>
      <c r="B19" s="1" t="s">
        <v>73</v>
      </c>
      <c r="C19" s="15">
        <v>1342000</v>
      </c>
      <c r="D19" s="1">
        <v>1000</v>
      </c>
      <c r="E19" s="1" t="s">
        <v>41</v>
      </c>
      <c r="F19" s="22">
        <f t="shared" ref="F19:F20" si="1">C19/D19</f>
        <v>1342</v>
      </c>
      <c r="G19" s="16"/>
    </row>
    <row r="20" spans="1:7">
      <c r="A20" s="14">
        <v>19</v>
      </c>
      <c r="B20" s="1" t="s">
        <v>72</v>
      </c>
      <c r="C20" s="15">
        <v>1472000</v>
      </c>
      <c r="D20" s="1">
        <v>3000</v>
      </c>
      <c r="E20" s="1" t="s">
        <v>41</v>
      </c>
      <c r="F20" s="22">
        <f t="shared" si="1"/>
        <v>490.66666666666669</v>
      </c>
      <c r="G20" s="16"/>
    </row>
    <row r="21" spans="1:7">
      <c r="A21" s="14">
        <v>19</v>
      </c>
      <c r="B21" s="1" t="s">
        <v>74</v>
      </c>
      <c r="C21" s="15">
        <v>1080000</v>
      </c>
      <c r="D21" s="1">
        <v>1000</v>
      </c>
      <c r="E21" s="1" t="s">
        <v>41</v>
      </c>
      <c r="F21" s="22">
        <f t="shared" si="0"/>
        <v>1080</v>
      </c>
      <c r="G21" s="16"/>
    </row>
    <row r="22" spans="1:7">
      <c r="A22" s="14">
        <v>20</v>
      </c>
      <c r="B22" s="1" t="s">
        <v>22</v>
      </c>
      <c r="C22" s="15">
        <v>200000</v>
      </c>
      <c r="D22" s="1">
        <v>3000</v>
      </c>
      <c r="E22" s="1" t="s">
        <v>41</v>
      </c>
      <c r="F22" s="22">
        <f t="shared" si="0"/>
        <v>66.666666666666671</v>
      </c>
      <c r="G22" s="16"/>
    </row>
    <row r="23" spans="1:7">
      <c r="A23" s="14">
        <v>21</v>
      </c>
      <c r="B23" s="1" t="s">
        <v>42</v>
      </c>
      <c r="C23" s="15">
        <v>24000</v>
      </c>
      <c r="D23" s="1">
        <v>20000</v>
      </c>
      <c r="E23" s="1" t="s">
        <v>29</v>
      </c>
      <c r="F23" s="22">
        <f t="shared" si="0"/>
        <v>1.2</v>
      </c>
      <c r="G23" s="16"/>
    </row>
    <row r="24" spans="1:7">
      <c r="A24" s="14">
        <v>22</v>
      </c>
      <c r="B24" s="1"/>
      <c r="C24" s="15"/>
      <c r="D24" s="1"/>
      <c r="E24" s="1"/>
      <c r="F24" s="22"/>
      <c r="G24" s="16"/>
    </row>
    <row r="25" spans="1:7">
      <c r="A25" s="14">
        <v>23</v>
      </c>
      <c r="B25" s="1"/>
      <c r="C25" s="15"/>
      <c r="D25" s="1"/>
      <c r="E25" s="1"/>
      <c r="F25" s="22"/>
      <c r="G25" s="16"/>
    </row>
    <row r="26" spans="1:7">
      <c r="A26" s="14">
        <v>24</v>
      </c>
      <c r="B26" s="1"/>
      <c r="C26" s="15"/>
      <c r="D26" s="1"/>
      <c r="E26" s="1"/>
      <c r="F26" s="22"/>
      <c r="G26" s="16"/>
    </row>
    <row r="27" spans="1:7">
      <c r="A27" s="14">
        <v>25</v>
      </c>
      <c r="B27" s="1"/>
      <c r="C27" s="15"/>
      <c r="D27" s="1"/>
      <c r="E27" s="1"/>
      <c r="F27" s="22"/>
      <c r="G27" s="16"/>
    </row>
    <row r="28" spans="1:7">
      <c r="A28" s="14">
        <v>26</v>
      </c>
      <c r="B28" s="1"/>
      <c r="C28" s="15"/>
      <c r="D28" s="1"/>
      <c r="E28" s="1"/>
      <c r="F28" s="22"/>
      <c r="G28" s="16"/>
    </row>
    <row r="29" spans="1:7">
      <c r="A29" s="14">
        <v>27</v>
      </c>
      <c r="B29" s="1"/>
      <c r="C29" s="15"/>
      <c r="D29" s="1"/>
      <c r="E29" s="1"/>
      <c r="F29" s="22"/>
      <c r="G29" s="16"/>
    </row>
    <row r="30" spans="1:7">
      <c r="A30" s="14">
        <v>28</v>
      </c>
      <c r="B30" s="1"/>
      <c r="C30" s="15"/>
      <c r="D30" s="1"/>
      <c r="E30" s="1"/>
      <c r="F30" s="22"/>
      <c r="G30" s="16"/>
    </row>
    <row r="31" spans="1:7">
      <c r="A31" s="14">
        <v>29</v>
      </c>
      <c r="B31" s="1"/>
      <c r="C31" s="15"/>
      <c r="D31" s="1"/>
      <c r="E31" s="1"/>
      <c r="F31" s="22"/>
      <c r="G31" s="16"/>
    </row>
    <row r="32" spans="1:7">
      <c r="A32" s="17">
        <v>30</v>
      </c>
      <c r="B32" s="18"/>
      <c r="C32" s="19"/>
      <c r="D32" s="18"/>
      <c r="E32" s="18"/>
      <c r="F32" s="23"/>
      <c r="G32" s="20"/>
    </row>
  </sheetData>
  <pageMargins left="0.7" right="0.7" top="0.75" bottom="0.75" header="0.3" footer="0.3"/>
  <pageSetup paperSize="120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8"/>
  <sheetViews>
    <sheetView showGridLines="0" showRowColHeaders="0" zoomScale="115" zoomScaleNormal="115" workbookViewId="0">
      <selection activeCell="S6" sqref="S6"/>
    </sheetView>
  </sheetViews>
  <sheetFormatPr defaultRowHeight="14.4"/>
  <cols>
    <col min="1" max="1" width="15.6640625" style="65" customWidth="1"/>
    <col min="2" max="2" width="2.21875" style="65" customWidth="1"/>
    <col min="3" max="3" width="7.21875" style="65" customWidth="1"/>
    <col min="4" max="4" width="9.44140625" style="65" customWidth="1"/>
    <col min="5" max="5" width="14.5546875" style="39" customWidth="1"/>
    <col min="6" max="20" width="8.88671875" style="26"/>
    <col min="21" max="21" width="8.88671875" style="41"/>
    <col min="22" max="26" width="8.88671875" style="26"/>
  </cols>
  <sheetData>
    <row r="1" spans="1:21">
      <c r="A1" s="119" t="s">
        <v>50</v>
      </c>
      <c r="B1" s="120"/>
      <c r="C1" s="120"/>
      <c r="D1" s="120"/>
      <c r="U1" s="41">
        <v>500000</v>
      </c>
    </row>
    <row r="2" spans="1:21">
      <c r="A2" s="49" t="s">
        <v>3</v>
      </c>
      <c r="B2" s="50"/>
      <c r="C2" s="50"/>
      <c r="D2" s="125"/>
      <c r="U2" s="41">
        <v>200000</v>
      </c>
    </row>
    <row r="3" spans="1:21">
      <c r="A3" s="51" t="s">
        <v>44</v>
      </c>
      <c r="B3" s="50"/>
      <c r="C3" s="50"/>
      <c r="D3" s="126"/>
      <c r="U3" s="41">
        <v>100000</v>
      </c>
    </row>
    <row r="4" spans="1:21">
      <c r="A4" s="52" t="s">
        <v>45</v>
      </c>
      <c r="B4" s="53"/>
      <c r="C4" s="54"/>
      <c r="D4" s="54"/>
      <c r="U4" s="41">
        <v>50000</v>
      </c>
    </row>
    <row r="5" spans="1:21">
      <c r="A5" s="67">
        <f ca="1">NOW()</f>
        <v>45803.98555636574</v>
      </c>
      <c r="B5" s="54"/>
      <c r="C5" s="54"/>
      <c r="D5" s="54"/>
    </row>
    <row r="6" spans="1:21">
      <c r="A6" s="121" t="s">
        <v>0</v>
      </c>
      <c r="B6" s="122"/>
      <c r="C6" s="122"/>
      <c r="D6" s="122"/>
    </row>
    <row r="7" spans="1:21">
      <c r="A7" s="55" t="s">
        <v>78</v>
      </c>
      <c r="B7" s="55" t="s">
        <v>1</v>
      </c>
      <c r="C7" s="55" t="s">
        <v>76</v>
      </c>
      <c r="D7" s="55" t="s">
        <v>77</v>
      </c>
      <c r="E7" s="40"/>
    </row>
    <row r="8" spans="1:21">
      <c r="A8" s="56"/>
      <c r="B8" s="57"/>
      <c r="C8" s="58"/>
      <c r="D8" s="59"/>
    </row>
    <row r="9" spans="1:21">
      <c r="A9" s="123" t="s">
        <v>2</v>
      </c>
      <c r="B9" s="124"/>
      <c r="C9" s="124"/>
      <c r="D9" s="60">
        <v>0</v>
      </c>
    </row>
    <row r="10" spans="1:21">
      <c r="A10" s="61"/>
      <c r="B10" s="62"/>
      <c r="C10" s="62"/>
      <c r="D10" s="63"/>
    </row>
    <row r="11" spans="1:21">
      <c r="A11" s="61" t="s">
        <v>46</v>
      </c>
      <c r="B11" s="62"/>
      <c r="C11" s="62"/>
      <c r="D11" s="63">
        <v>0</v>
      </c>
      <c r="K11" s="26" t="s">
        <v>49</v>
      </c>
    </row>
    <row r="12" spans="1:21">
      <c r="A12" s="61" t="s">
        <v>47</v>
      </c>
      <c r="B12" s="62"/>
      <c r="C12" s="62"/>
      <c r="D12" s="64">
        <v>0</v>
      </c>
    </row>
    <row r="14" spans="1:21">
      <c r="A14" s="65" t="s">
        <v>4</v>
      </c>
    </row>
    <row r="15" spans="1:21">
      <c r="A15" s="65" t="s">
        <v>96</v>
      </c>
    </row>
    <row r="18" spans="1:1">
      <c r="A18" s="66"/>
    </row>
  </sheetData>
  <mergeCells count="4">
    <mergeCell ref="A1:D1"/>
    <mergeCell ref="A6:D6"/>
    <mergeCell ref="A9:C9"/>
    <mergeCell ref="D2:D3"/>
  </mergeCells>
  <dataValidations count="1">
    <dataValidation type="list" allowBlank="1" showInputMessage="1" showErrorMessage="1" sqref="D11">
      <formula1>$U$1:$U$4</formula1>
    </dataValidation>
  </dataValidations>
  <pageMargins left="0.06" right="0" top="0.1" bottom="0" header="0" footer="0"/>
  <pageSetup paperSize="125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4119" r:id="rId4" name="sl1">
          <controlPr defaultSize="0" autoLine="0" r:id="rId5">
            <anchor>
              <from>
                <xdr:col>4</xdr:col>
                <xdr:colOff>396240</xdr:colOff>
                <xdr:row>7</xdr:row>
                <xdr:rowOff>15240</xdr:rowOff>
              </from>
              <to>
                <xdr:col>4</xdr:col>
                <xdr:colOff>548640</xdr:colOff>
                <xdr:row>7</xdr:row>
                <xdr:rowOff>167640</xdr:rowOff>
              </to>
            </anchor>
          </controlPr>
        </control>
      </mc:Choice>
      <mc:Fallback>
        <control shapeId="4119" r:id="rId4" name="sl1"/>
      </mc:Fallback>
    </mc:AlternateContent>
    <mc:AlternateContent xmlns:mc="http://schemas.openxmlformats.org/markup-compatibility/2006">
      <mc:Choice Requires="x14">
        <control shapeId="4120" r:id="rId6" name="sl2">
          <controlPr defaultSize="0" autoLine="0" r:id="rId7">
            <anchor>
              <from>
                <xdr:col>4</xdr:col>
                <xdr:colOff>396240</xdr:colOff>
                <xdr:row>8</xdr:row>
                <xdr:rowOff>15240</xdr:rowOff>
              </from>
              <to>
                <xdr:col>4</xdr:col>
                <xdr:colOff>548640</xdr:colOff>
                <xdr:row>8</xdr:row>
                <xdr:rowOff>175260</xdr:rowOff>
              </to>
            </anchor>
          </controlPr>
        </control>
      </mc:Choice>
      <mc:Fallback>
        <control shapeId="4120" r:id="rId6" name="sl2"/>
      </mc:Fallback>
    </mc:AlternateContent>
    <mc:AlternateContent xmlns:mc="http://schemas.openxmlformats.org/markup-compatibility/2006">
      <mc:Choice Requires="x14">
        <control shapeId="4121" r:id="rId8" name="sl3">
          <controlPr defaultSize="0" autoLine="0" r:id="rId5">
            <anchor>
              <from>
                <xdr:col>4</xdr:col>
                <xdr:colOff>396240</xdr:colOff>
                <xdr:row>9</xdr:row>
                <xdr:rowOff>15240</xdr:rowOff>
              </from>
              <to>
                <xdr:col>4</xdr:col>
                <xdr:colOff>548640</xdr:colOff>
                <xdr:row>9</xdr:row>
                <xdr:rowOff>167640</xdr:rowOff>
              </to>
            </anchor>
          </controlPr>
        </control>
      </mc:Choice>
      <mc:Fallback>
        <control shapeId="4121" r:id="rId8" name="sl3"/>
      </mc:Fallback>
    </mc:AlternateContent>
    <mc:AlternateContent xmlns:mc="http://schemas.openxmlformats.org/markup-compatibility/2006">
      <mc:Choice Requires="x14">
        <control shapeId="4122" r:id="rId9" name="sl4">
          <controlPr defaultSize="0" autoLine="0" r:id="rId5">
            <anchor>
              <from>
                <xdr:col>4</xdr:col>
                <xdr:colOff>396240</xdr:colOff>
                <xdr:row>10</xdr:row>
                <xdr:rowOff>15240</xdr:rowOff>
              </from>
              <to>
                <xdr:col>4</xdr:col>
                <xdr:colOff>548640</xdr:colOff>
                <xdr:row>10</xdr:row>
                <xdr:rowOff>167640</xdr:rowOff>
              </to>
            </anchor>
          </controlPr>
        </control>
      </mc:Choice>
      <mc:Fallback>
        <control shapeId="4122" r:id="rId9" name="sl4"/>
      </mc:Fallback>
    </mc:AlternateContent>
    <mc:AlternateContent xmlns:mc="http://schemas.openxmlformats.org/markup-compatibility/2006">
      <mc:Choice Requires="x14">
        <control shapeId="4123" r:id="rId10" name="sl5">
          <controlPr defaultSize="0" autoLine="0" r:id="rId11">
            <anchor>
              <from>
                <xdr:col>4</xdr:col>
                <xdr:colOff>396240</xdr:colOff>
                <xdr:row>11</xdr:row>
                <xdr:rowOff>7620</xdr:rowOff>
              </from>
              <to>
                <xdr:col>4</xdr:col>
                <xdr:colOff>541020</xdr:colOff>
                <xdr:row>11</xdr:row>
                <xdr:rowOff>167640</xdr:rowOff>
              </to>
            </anchor>
          </controlPr>
        </control>
      </mc:Choice>
      <mc:Fallback>
        <control shapeId="4123" r:id="rId10" name="sl5"/>
      </mc:Fallback>
    </mc:AlternateContent>
    <mc:AlternateContent xmlns:mc="http://schemas.openxmlformats.org/markup-compatibility/2006">
      <mc:Choice Requires="x14">
        <control shapeId="4131" r:id="rId12" name="sl6">
          <controlPr defaultSize="0" autoLine="0" r:id="rId5">
            <anchor>
              <from>
                <xdr:col>4</xdr:col>
                <xdr:colOff>396240</xdr:colOff>
                <xdr:row>12</xdr:row>
                <xdr:rowOff>22860</xdr:rowOff>
              </from>
              <to>
                <xdr:col>4</xdr:col>
                <xdr:colOff>548640</xdr:colOff>
                <xdr:row>12</xdr:row>
                <xdr:rowOff>175260</xdr:rowOff>
              </to>
            </anchor>
          </controlPr>
        </control>
      </mc:Choice>
      <mc:Fallback>
        <control shapeId="4131" r:id="rId12" name="sl6"/>
      </mc:Fallback>
    </mc:AlternateContent>
    <mc:AlternateContent xmlns:mc="http://schemas.openxmlformats.org/markup-compatibility/2006">
      <mc:Choice Requires="x14">
        <control shapeId="4132" r:id="rId13" name="sl7">
          <controlPr defaultSize="0" autoLine="0" r:id="rId7">
            <anchor>
              <from>
                <xdr:col>4</xdr:col>
                <xdr:colOff>396240</xdr:colOff>
                <xdr:row>13</xdr:row>
                <xdr:rowOff>22860</xdr:rowOff>
              </from>
              <to>
                <xdr:col>4</xdr:col>
                <xdr:colOff>548640</xdr:colOff>
                <xdr:row>14</xdr:row>
                <xdr:rowOff>0</xdr:rowOff>
              </to>
            </anchor>
          </controlPr>
        </control>
      </mc:Choice>
      <mc:Fallback>
        <control shapeId="4132" r:id="rId13" name="sl7"/>
      </mc:Fallback>
    </mc:AlternateContent>
    <mc:AlternateContent xmlns:mc="http://schemas.openxmlformats.org/markup-compatibility/2006">
      <mc:Choice Requires="x14">
        <control shapeId="4133" r:id="rId14" name="sl8">
          <controlPr defaultSize="0" autoLine="0" r:id="rId5">
            <anchor>
              <from>
                <xdr:col>4</xdr:col>
                <xdr:colOff>396240</xdr:colOff>
                <xdr:row>14</xdr:row>
                <xdr:rowOff>22860</xdr:rowOff>
              </from>
              <to>
                <xdr:col>4</xdr:col>
                <xdr:colOff>548640</xdr:colOff>
                <xdr:row>14</xdr:row>
                <xdr:rowOff>175260</xdr:rowOff>
              </to>
            </anchor>
          </controlPr>
        </control>
      </mc:Choice>
      <mc:Fallback>
        <control shapeId="4133" r:id="rId14" name="sl8"/>
      </mc:Fallback>
    </mc:AlternateContent>
    <mc:AlternateContent xmlns:mc="http://schemas.openxmlformats.org/markup-compatibility/2006">
      <mc:Choice Requires="x14">
        <control shapeId="4134" r:id="rId15" name="sl9">
          <controlPr defaultSize="0" autoLine="0" r:id="rId5">
            <anchor>
              <from>
                <xdr:col>4</xdr:col>
                <xdr:colOff>396240</xdr:colOff>
                <xdr:row>15</xdr:row>
                <xdr:rowOff>22860</xdr:rowOff>
              </from>
              <to>
                <xdr:col>4</xdr:col>
                <xdr:colOff>548640</xdr:colOff>
                <xdr:row>15</xdr:row>
                <xdr:rowOff>175260</xdr:rowOff>
              </to>
            </anchor>
          </controlPr>
        </control>
      </mc:Choice>
      <mc:Fallback>
        <control shapeId="4134" r:id="rId15" name="sl9"/>
      </mc:Fallback>
    </mc:AlternateContent>
    <mc:AlternateContent xmlns:mc="http://schemas.openxmlformats.org/markup-compatibility/2006">
      <mc:Choice Requires="x14">
        <control shapeId="4135" r:id="rId16" name="sl10">
          <controlPr defaultSize="0" autoLine="0" r:id="rId11">
            <anchor>
              <from>
                <xdr:col>4</xdr:col>
                <xdr:colOff>396240</xdr:colOff>
                <xdr:row>16</xdr:row>
                <xdr:rowOff>15240</xdr:rowOff>
              </from>
              <to>
                <xdr:col>4</xdr:col>
                <xdr:colOff>541020</xdr:colOff>
                <xdr:row>16</xdr:row>
                <xdr:rowOff>175260</xdr:rowOff>
              </to>
            </anchor>
          </controlPr>
        </control>
      </mc:Choice>
      <mc:Fallback>
        <control shapeId="4135" r:id="rId16" name="sl10"/>
      </mc:Fallback>
    </mc:AlternateContent>
    <mc:AlternateContent xmlns:mc="http://schemas.openxmlformats.org/markup-compatibility/2006">
      <mc:Choice Requires="x14">
        <control shapeId="4102" r:id="rId17" name="tru1">
          <controlPr defaultSize="0" print="0" autoFill="0" autoPict="0" macro="[0]!tru_1">
            <anchor>
              <from>
                <xdr:col>4</xdr:col>
                <xdr:colOff>182880</xdr:colOff>
                <xdr:row>7</xdr:row>
                <xdr:rowOff>15240</xdr:rowOff>
              </from>
              <to>
                <xdr:col>4</xdr:col>
                <xdr:colOff>350520</xdr:colOff>
                <xdr:row>7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2" r:id="rId18" name="tru2">
          <controlPr defaultSize="0" print="0" autoFill="0" autoPict="0" macro="[0]!tru_2">
            <anchor>
              <from>
                <xdr:col>4</xdr:col>
                <xdr:colOff>190500</xdr:colOff>
                <xdr:row>8</xdr:row>
                <xdr:rowOff>22860</xdr:rowOff>
              </from>
              <to>
                <xdr:col>4</xdr:col>
                <xdr:colOff>350520</xdr:colOff>
                <xdr:row>8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4" r:id="rId19" name="tru3">
          <controlPr defaultSize="0" print="0" autoFill="0" autoPict="0" macro="[0]!tru_3">
            <anchor>
              <from>
                <xdr:col>4</xdr:col>
                <xdr:colOff>190500</xdr:colOff>
                <xdr:row>9</xdr:row>
                <xdr:rowOff>22860</xdr:rowOff>
              </from>
              <to>
                <xdr:col>4</xdr:col>
                <xdr:colOff>350520</xdr:colOff>
                <xdr:row>9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6" r:id="rId20" name="tru4">
          <controlPr defaultSize="0" print="0" autoFill="0" autoPict="0" macro="[0]!tru_4">
            <anchor>
              <from>
                <xdr:col>4</xdr:col>
                <xdr:colOff>190500</xdr:colOff>
                <xdr:row>10</xdr:row>
                <xdr:rowOff>22860</xdr:rowOff>
              </from>
              <to>
                <xdr:col>4</xdr:col>
                <xdr:colOff>350520</xdr:colOff>
                <xdr:row>10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8" r:id="rId21" name="tru5">
          <controlPr defaultSize="0" print="0" autoFill="0" autoPict="0" macro="[0]!tru_5">
            <anchor>
              <from>
                <xdr:col>4</xdr:col>
                <xdr:colOff>190500</xdr:colOff>
                <xdr:row>11</xdr:row>
                <xdr:rowOff>30480</xdr:rowOff>
              </from>
              <to>
                <xdr:col>4</xdr:col>
                <xdr:colOff>350520</xdr:colOff>
                <xdr:row>11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6" r:id="rId22" name="tru6">
          <controlPr defaultSize="0" print="0" autoFill="0" autoPict="0" macro="[0]!tru_6">
            <anchor>
              <from>
                <xdr:col>4</xdr:col>
                <xdr:colOff>182880</xdr:colOff>
                <xdr:row>12</xdr:row>
                <xdr:rowOff>38100</xdr:rowOff>
              </from>
              <to>
                <xdr:col>4</xdr:col>
                <xdr:colOff>350520</xdr:colOff>
                <xdr:row>12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7" r:id="rId23" name="tru7">
          <controlPr defaultSize="0" print="0" autoFill="0" autoPict="0" macro="[0]!tru_7">
            <anchor>
              <from>
                <xdr:col>4</xdr:col>
                <xdr:colOff>190500</xdr:colOff>
                <xdr:row>13</xdr:row>
                <xdr:rowOff>45720</xdr:rowOff>
              </from>
              <to>
                <xdr:col>4</xdr:col>
                <xdr:colOff>350520</xdr:colOff>
                <xdr:row>13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8" r:id="rId24" name="tru8">
          <controlPr defaultSize="0" print="0" autoFill="0" autoPict="0" macro="[0]!tru_8">
            <anchor>
              <from>
                <xdr:col>4</xdr:col>
                <xdr:colOff>190500</xdr:colOff>
                <xdr:row>14</xdr:row>
                <xdr:rowOff>45720</xdr:rowOff>
              </from>
              <to>
                <xdr:col>4</xdr:col>
                <xdr:colOff>350520</xdr:colOff>
                <xdr:row>14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9" r:id="rId25" name="tru9">
          <controlPr defaultSize="0" print="0" autoFill="0" autoPict="0" macro="[0]!tru_9">
            <anchor>
              <from>
                <xdr:col>4</xdr:col>
                <xdr:colOff>190500</xdr:colOff>
                <xdr:row>15</xdr:row>
                <xdr:rowOff>45720</xdr:rowOff>
              </from>
              <to>
                <xdr:col>4</xdr:col>
                <xdr:colOff>350520</xdr:colOff>
                <xdr:row>15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0" r:id="rId26" name="tru10">
          <controlPr defaultSize="0" print="0" autoFill="0" autoPict="0" macro="[0]!tru_10">
            <anchor>
              <from>
                <xdr:col>4</xdr:col>
                <xdr:colOff>190500</xdr:colOff>
                <xdr:row>16</xdr:row>
                <xdr:rowOff>53340</xdr:rowOff>
              </from>
              <to>
                <xdr:col>4</xdr:col>
                <xdr:colOff>350520</xdr:colOff>
                <xdr:row>16</xdr:row>
                <xdr:rowOff>167640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1"/>
  <sheetViews>
    <sheetView tabSelected="1" topLeftCell="C1" zoomScale="74" zoomScaleNormal="145" workbookViewId="0">
      <selection activeCell="L22" sqref="L22"/>
    </sheetView>
  </sheetViews>
  <sheetFormatPr defaultRowHeight="14.4"/>
  <cols>
    <col min="1" max="1" width="4.5546875" customWidth="1"/>
    <col min="2" max="2" width="17.21875" customWidth="1"/>
    <col min="3" max="3" width="11.77734375" style="24" bestFit="1" customWidth="1"/>
    <col min="4" max="4" width="10" bestFit="1" customWidth="1"/>
    <col min="5" max="5" width="11.77734375" style="24" bestFit="1" customWidth="1"/>
    <col min="6" max="6" width="4.109375" customWidth="1"/>
    <col min="7" max="7" width="14.77734375" bestFit="1" customWidth="1"/>
    <col min="8" max="8" width="16.77734375" bestFit="1" customWidth="1"/>
    <col min="9" max="9" width="13.5546875" customWidth="1"/>
    <col min="10" max="10" width="11.33203125" bestFit="1" customWidth="1"/>
    <col min="11" max="11" width="14.21875" customWidth="1"/>
    <col min="13" max="13" width="11.77734375" bestFit="1" customWidth="1"/>
    <col min="14" max="16" width="11.77734375" customWidth="1"/>
    <col min="17" max="17" width="11.77734375" style="24" customWidth="1"/>
    <col min="19" max="19" width="11.77734375" customWidth="1"/>
    <col min="20" max="20" width="13.33203125" style="24" bestFit="1" customWidth="1"/>
  </cols>
  <sheetData>
    <row r="1" spans="1:20">
      <c r="A1" s="127" t="s">
        <v>112</v>
      </c>
      <c r="B1" s="127"/>
      <c r="C1" s="127"/>
      <c r="D1" s="127"/>
      <c r="E1" s="127"/>
      <c r="I1" s="89" t="s">
        <v>123</v>
      </c>
      <c r="J1" s="89" t="s">
        <v>124</v>
      </c>
      <c r="K1" s="89" t="s">
        <v>120</v>
      </c>
    </row>
    <row r="2" spans="1:20" ht="15.6">
      <c r="A2" s="79" t="s">
        <v>9</v>
      </c>
      <c r="B2" s="79" t="s">
        <v>10</v>
      </c>
      <c r="C2" s="80" t="s">
        <v>101</v>
      </c>
      <c r="D2" s="79" t="s">
        <v>12</v>
      </c>
      <c r="E2" s="80" t="s">
        <v>102</v>
      </c>
      <c r="H2" s="135" t="s">
        <v>113</v>
      </c>
      <c r="I2" s="82">
        <f>SUM(O10:O41)*1000</f>
        <v>11788000</v>
      </c>
      <c r="J2" s="82">
        <f>SUM(P10:P41)*1000</f>
        <v>7997000</v>
      </c>
      <c r="K2" s="82">
        <f>SUM(I2:J2)</f>
        <v>19785000</v>
      </c>
    </row>
    <row r="3" spans="1:20">
      <c r="A3" s="1">
        <v>1</v>
      </c>
      <c r="B3" s="92" t="s">
        <v>103</v>
      </c>
      <c r="C3" s="15">
        <v>2000000</v>
      </c>
      <c r="D3" s="1">
        <v>2</v>
      </c>
      <c r="E3" s="15">
        <f>C3*D3</f>
        <v>4000000</v>
      </c>
      <c r="H3" s="133" t="s">
        <v>114</v>
      </c>
      <c r="I3" s="83">
        <v>15000</v>
      </c>
      <c r="J3" s="15">
        <v>25000</v>
      </c>
      <c r="K3" s="15">
        <f>AVERAGE(I3:J3)</f>
        <v>20000</v>
      </c>
      <c r="M3" s="93"/>
      <c r="N3" s="93"/>
      <c r="O3" s="93"/>
      <c r="P3" s="93"/>
    </row>
    <row r="4" spans="1:20">
      <c r="A4" s="1">
        <v>2</v>
      </c>
      <c r="B4" s="92" t="s">
        <v>104</v>
      </c>
      <c r="C4" s="15">
        <v>5000000</v>
      </c>
      <c r="D4" s="1">
        <v>1</v>
      </c>
      <c r="E4" s="15">
        <f>C4*D4</f>
        <v>5000000</v>
      </c>
      <c r="H4" s="135" t="s">
        <v>115</v>
      </c>
      <c r="I4" s="88">
        <v>0.45</v>
      </c>
      <c r="J4" s="88">
        <v>0.26</v>
      </c>
      <c r="K4" s="88">
        <f>AVERAGE(I4:J4)</f>
        <v>0.35499999999999998</v>
      </c>
    </row>
    <row r="5" spans="1:20">
      <c r="A5" s="1">
        <v>3</v>
      </c>
      <c r="B5" s="92" t="s">
        <v>105</v>
      </c>
      <c r="C5" s="15">
        <v>1200000</v>
      </c>
      <c r="D5" s="1">
        <v>1</v>
      </c>
      <c r="E5" s="15">
        <f t="shared" ref="E5:E13" si="0">C5*D5</f>
        <v>1200000</v>
      </c>
      <c r="H5" s="133" t="s">
        <v>116</v>
      </c>
      <c r="I5" s="83"/>
      <c r="J5" s="15"/>
      <c r="K5" s="91">
        <f>SUM(E3:E13)</f>
        <v>21213675</v>
      </c>
    </row>
    <row r="6" spans="1:20">
      <c r="A6" s="1">
        <v>4</v>
      </c>
      <c r="B6" s="92" t="s">
        <v>106</v>
      </c>
      <c r="C6" s="15">
        <v>300000</v>
      </c>
      <c r="D6" s="1">
        <v>1</v>
      </c>
      <c r="E6" s="15">
        <f t="shared" si="0"/>
        <v>300000</v>
      </c>
      <c r="H6" s="135" t="s">
        <v>117</v>
      </c>
      <c r="I6" s="84"/>
      <c r="J6" s="84"/>
      <c r="K6" s="130">
        <f>K2-K5</f>
        <v>-1428675</v>
      </c>
    </row>
    <row r="7" spans="1:20">
      <c r="A7" s="1">
        <v>5</v>
      </c>
      <c r="B7" s="92" t="s">
        <v>128</v>
      </c>
      <c r="C7" s="15">
        <f>K2*K4</f>
        <v>7023675</v>
      </c>
      <c r="D7" s="1">
        <v>1</v>
      </c>
      <c r="E7" s="15">
        <f t="shared" si="0"/>
        <v>7023675</v>
      </c>
    </row>
    <row r="8" spans="1:20">
      <c r="A8" s="1">
        <v>6</v>
      </c>
      <c r="B8" s="92" t="s">
        <v>127</v>
      </c>
      <c r="C8" s="15">
        <v>11000</v>
      </c>
      <c r="D8" s="1">
        <v>90</v>
      </c>
      <c r="E8" s="15">
        <f t="shared" si="0"/>
        <v>990000</v>
      </c>
    </row>
    <row r="9" spans="1:20">
      <c r="A9" s="1">
        <v>7</v>
      </c>
      <c r="B9" s="92" t="s">
        <v>107</v>
      </c>
      <c r="C9" s="15">
        <v>1200000</v>
      </c>
      <c r="D9" s="1">
        <v>1</v>
      </c>
      <c r="E9" s="15">
        <f t="shared" si="0"/>
        <v>1200000</v>
      </c>
      <c r="G9" s="81"/>
      <c r="H9" s="136" t="s">
        <v>124</v>
      </c>
      <c r="I9" s="136" t="s">
        <v>126</v>
      </c>
      <c r="J9" s="136" t="s">
        <v>121</v>
      </c>
      <c r="N9" s="131" t="s">
        <v>136</v>
      </c>
      <c r="O9" s="78" t="s">
        <v>126</v>
      </c>
      <c r="P9" s="78" t="s">
        <v>124</v>
      </c>
      <c r="Q9" s="86" t="s">
        <v>120</v>
      </c>
    </row>
    <row r="10" spans="1:20">
      <c r="A10" s="1">
        <v>8</v>
      </c>
      <c r="B10" s="92" t="s">
        <v>108</v>
      </c>
      <c r="C10" s="15">
        <v>500000</v>
      </c>
      <c r="D10" s="1">
        <v>1</v>
      </c>
      <c r="E10" s="15">
        <f t="shared" si="0"/>
        <v>500000</v>
      </c>
      <c r="G10" s="137" t="s">
        <v>118</v>
      </c>
      <c r="H10" s="90">
        <f>K5/J3</f>
        <v>848.54700000000003</v>
      </c>
      <c r="I10" s="90">
        <f>K5/I3</f>
        <v>1414.2449999999999</v>
      </c>
      <c r="J10" s="9" t="s">
        <v>122</v>
      </c>
      <c r="N10" s="132">
        <v>45784</v>
      </c>
      <c r="O10" s="1">
        <v>353</v>
      </c>
      <c r="P10" s="1">
        <v>439</v>
      </c>
      <c r="Q10" s="15">
        <f>(O10+P10)*1000</f>
        <v>792000</v>
      </c>
      <c r="S10" t="s">
        <v>0</v>
      </c>
      <c r="T10" s="24" t="s">
        <v>77</v>
      </c>
    </row>
    <row r="11" spans="1:20">
      <c r="A11" s="1">
        <v>9</v>
      </c>
      <c r="B11" s="92" t="s">
        <v>109</v>
      </c>
      <c r="C11" s="15">
        <v>500000</v>
      </c>
      <c r="D11" s="1">
        <v>1</v>
      </c>
      <c r="E11" s="15">
        <f t="shared" si="0"/>
        <v>500000</v>
      </c>
      <c r="G11" s="137" t="s">
        <v>119</v>
      </c>
      <c r="H11" s="94">
        <f>H10/30</f>
        <v>28.2849</v>
      </c>
      <c r="I11" s="94">
        <f>I10/30</f>
        <v>47.141499999999994</v>
      </c>
      <c r="J11" s="9" t="s">
        <v>133</v>
      </c>
      <c r="N11" s="132">
        <v>45785</v>
      </c>
      <c r="O11" s="1">
        <v>410</v>
      </c>
      <c r="P11" s="1">
        <f>1179-410</f>
        <v>769</v>
      </c>
      <c r="Q11" s="15">
        <f t="shared" ref="Q11:Q41" si="1">(O11+P11)*1000</f>
        <v>1179000</v>
      </c>
      <c r="S11" t="s">
        <v>129</v>
      </c>
      <c r="T11" s="24">
        <v>2760000</v>
      </c>
    </row>
    <row r="12" spans="1:20">
      <c r="A12" s="1">
        <v>10</v>
      </c>
      <c r="B12" s="92" t="s">
        <v>110</v>
      </c>
      <c r="C12" s="15">
        <v>0</v>
      </c>
      <c r="D12" s="1">
        <v>0</v>
      </c>
      <c r="E12" s="15">
        <f t="shared" si="0"/>
        <v>0</v>
      </c>
      <c r="N12" s="132">
        <v>45786</v>
      </c>
      <c r="O12" s="1">
        <v>456</v>
      </c>
      <c r="P12" s="1">
        <f>1562-456</f>
        <v>1106</v>
      </c>
      <c r="Q12" s="15">
        <f t="shared" si="1"/>
        <v>1562000</v>
      </c>
      <c r="S12" t="s">
        <v>130</v>
      </c>
      <c r="T12" s="24">
        <f>24*47000</f>
        <v>1128000</v>
      </c>
    </row>
    <row r="13" spans="1:20" ht="15.6">
      <c r="A13" s="1">
        <v>11</v>
      </c>
      <c r="B13" s="92" t="s">
        <v>111</v>
      </c>
      <c r="C13" s="15">
        <v>500000</v>
      </c>
      <c r="D13" s="1">
        <v>1</v>
      </c>
      <c r="E13" s="15">
        <f t="shared" si="0"/>
        <v>500000</v>
      </c>
      <c r="H13" s="97" t="s">
        <v>135</v>
      </c>
      <c r="I13" s="95">
        <f>K5/30</f>
        <v>707122.5</v>
      </c>
      <c r="J13" s="96" t="s">
        <v>134</v>
      </c>
      <c r="N13" s="132">
        <v>45787</v>
      </c>
      <c r="O13" s="1">
        <v>0</v>
      </c>
      <c r="P13" s="1">
        <v>407</v>
      </c>
      <c r="Q13" s="15">
        <f t="shared" si="1"/>
        <v>407000</v>
      </c>
      <c r="S13" t="s">
        <v>131</v>
      </c>
      <c r="T13" s="24">
        <v>3000000</v>
      </c>
    </row>
    <row r="14" spans="1:20">
      <c r="N14" s="132">
        <v>45788</v>
      </c>
      <c r="O14" s="1">
        <v>582</v>
      </c>
      <c r="P14" s="1">
        <f>1038-582</f>
        <v>456</v>
      </c>
      <c r="Q14" s="15">
        <f t="shared" si="1"/>
        <v>1038000</v>
      </c>
      <c r="S14" t="s">
        <v>27</v>
      </c>
      <c r="T14" s="24">
        <f>33000*10</f>
        <v>330000</v>
      </c>
    </row>
    <row r="15" spans="1:20">
      <c r="N15" s="132">
        <v>45789</v>
      </c>
      <c r="O15" s="1">
        <v>427</v>
      </c>
      <c r="P15" s="1">
        <f>917-427</f>
        <v>490</v>
      </c>
      <c r="Q15" s="15">
        <f t="shared" si="1"/>
        <v>917000</v>
      </c>
      <c r="S15" t="s">
        <v>132</v>
      </c>
    </row>
    <row r="16" spans="1:20">
      <c r="N16" s="132">
        <v>45790</v>
      </c>
      <c r="O16" s="1">
        <v>509</v>
      </c>
      <c r="P16" s="1">
        <v>0</v>
      </c>
      <c r="Q16" s="15">
        <f t="shared" si="1"/>
        <v>509000</v>
      </c>
      <c r="S16" t="s">
        <v>48</v>
      </c>
    </row>
    <row r="17" spans="14:17">
      <c r="N17" s="132">
        <v>45791</v>
      </c>
      <c r="O17" s="1">
        <v>350</v>
      </c>
      <c r="P17" s="1">
        <v>229</v>
      </c>
      <c r="Q17" s="15">
        <f t="shared" si="1"/>
        <v>579000</v>
      </c>
    </row>
    <row r="18" spans="14:17">
      <c r="N18" s="132">
        <v>45792</v>
      </c>
      <c r="O18" s="1">
        <v>443</v>
      </c>
      <c r="P18" s="1">
        <v>70</v>
      </c>
      <c r="Q18" s="15">
        <f t="shared" si="1"/>
        <v>513000</v>
      </c>
    </row>
    <row r="19" spans="14:17">
      <c r="N19" s="132">
        <v>45793</v>
      </c>
      <c r="O19" s="1">
        <v>431</v>
      </c>
      <c r="P19" s="1">
        <f>517-O19</f>
        <v>86</v>
      </c>
      <c r="Q19" s="15">
        <f t="shared" si="1"/>
        <v>517000</v>
      </c>
    </row>
    <row r="20" spans="14:17">
      <c r="N20" s="132">
        <v>45794</v>
      </c>
      <c r="O20" s="1">
        <v>370</v>
      </c>
      <c r="P20" s="1">
        <f>664-370</f>
        <v>294</v>
      </c>
      <c r="Q20" s="15">
        <f t="shared" si="1"/>
        <v>664000</v>
      </c>
    </row>
    <row r="21" spans="14:17">
      <c r="N21" s="132">
        <v>45795</v>
      </c>
      <c r="O21" s="1">
        <v>317</v>
      </c>
      <c r="P21" s="1">
        <v>317</v>
      </c>
      <c r="Q21" s="15">
        <f t="shared" si="1"/>
        <v>634000</v>
      </c>
    </row>
    <row r="22" spans="14:17">
      <c r="N22" s="132">
        <v>45796</v>
      </c>
      <c r="O22" s="1">
        <v>438</v>
      </c>
      <c r="P22" s="1">
        <f>609-O22</f>
        <v>171</v>
      </c>
      <c r="Q22" s="15">
        <f t="shared" si="1"/>
        <v>609000</v>
      </c>
    </row>
    <row r="23" spans="14:17">
      <c r="N23" s="132">
        <v>45797</v>
      </c>
      <c r="O23" s="1">
        <v>494</v>
      </c>
      <c r="P23" s="1">
        <f>649-O23</f>
        <v>155</v>
      </c>
      <c r="Q23" s="15">
        <f t="shared" si="1"/>
        <v>649000</v>
      </c>
    </row>
    <row r="24" spans="14:17">
      <c r="N24" s="132">
        <v>45798</v>
      </c>
      <c r="O24" s="1">
        <v>414</v>
      </c>
      <c r="P24" s="1">
        <v>0</v>
      </c>
      <c r="Q24" s="15">
        <f t="shared" si="1"/>
        <v>414000</v>
      </c>
    </row>
    <row r="25" spans="14:17">
      <c r="N25" s="132">
        <v>45799</v>
      </c>
      <c r="O25" s="1">
        <v>388</v>
      </c>
      <c r="P25" s="1">
        <f>470-388</f>
        <v>82</v>
      </c>
      <c r="Q25" s="15">
        <f t="shared" si="1"/>
        <v>470000</v>
      </c>
    </row>
    <row r="26" spans="14:17">
      <c r="N26" s="132">
        <v>45800</v>
      </c>
      <c r="O26" s="1">
        <v>387</v>
      </c>
      <c r="P26" s="1">
        <f>632-387</f>
        <v>245</v>
      </c>
      <c r="Q26" s="15">
        <f t="shared" si="1"/>
        <v>632000</v>
      </c>
    </row>
    <row r="27" spans="14:17">
      <c r="N27" s="132">
        <v>45801</v>
      </c>
      <c r="O27" s="1">
        <v>354</v>
      </c>
      <c r="P27" s="1">
        <f>549-O27</f>
        <v>195</v>
      </c>
      <c r="Q27" s="15">
        <f t="shared" si="1"/>
        <v>549000</v>
      </c>
    </row>
    <row r="28" spans="14:17">
      <c r="N28" s="132">
        <v>45802</v>
      </c>
      <c r="O28" s="1">
        <v>372</v>
      </c>
      <c r="P28" s="1">
        <f>817-372</f>
        <v>445</v>
      </c>
      <c r="Q28" s="15">
        <f t="shared" si="1"/>
        <v>817000</v>
      </c>
    </row>
    <row r="29" spans="14:17">
      <c r="N29" s="132">
        <v>45803</v>
      </c>
      <c r="O29" s="1">
        <v>355</v>
      </c>
      <c r="P29" s="1">
        <v>206</v>
      </c>
      <c r="Q29" s="15">
        <f t="shared" si="1"/>
        <v>561000</v>
      </c>
    </row>
    <row r="30" spans="14:17">
      <c r="N30" s="132">
        <v>45804</v>
      </c>
      <c r="O30" s="1">
        <v>455</v>
      </c>
      <c r="P30" s="1">
        <f>810-455</f>
        <v>355</v>
      </c>
      <c r="Q30" s="15">
        <f t="shared" si="1"/>
        <v>810000</v>
      </c>
    </row>
    <row r="31" spans="14:17">
      <c r="N31" s="132">
        <v>45805</v>
      </c>
      <c r="O31" s="1">
        <v>363</v>
      </c>
      <c r="P31" s="1">
        <v>0</v>
      </c>
      <c r="Q31" s="15">
        <f t="shared" si="1"/>
        <v>363000</v>
      </c>
    </row>
    <row r="32" spans="14:17">
      <c r="N32" s="132">
        <v>45806</v>
      </c>
      <c r="O32" s="1">
        <v>0</v>
      </c>
      <c r="P32" s="1">
        <v>30</v>
      </c>
      <c r="Q32" s="15">
        <f t="shared" si="1"/>
        <v>30000</v>
      </c>
    </row>
    <row r="33" spans="14:17">
      <c r="N33" s="132">
        <v>45807</v>
      </c>
      <c r="O33" s="1">
        <v>340</v>
      </c>
      <c r="P33" s="1">
        <f>488-340</f>
        <v>148</v>
      </c>
      <c r="Q33" s="15">
        <f t="shared" si="1"/>
        <v>488000</v>
      </c>
    </row>
    <row r="34" spans="14:17">
      <c r="N34" s="132">
        <v>45808</v>
      </c>
      <c r="O34" s="1">
        <v>336</v>
      </c>
      <c r="P34" s="1">
        <f>1006-O34</f>
        <v>670</v>
      </c>
      <c r="Q34" s="15">
        <f t="shared" si="1"/>
        <v>1006000</v>
      </c>
    </row>
    <row r="35" spans="14:17">
      <c r="N35" s="132">
        <v>45809</v>
      </c>
      <c r="O35" s="1">
        <v>368</v>
      </c>
      <c r="P35" s="1">
        <v>56</v>
      </c>
      <c r="Q35" s="15">
        <f t="shared" si="1"/>
        <v>424000</v>
      </c>
    </row>
    <row r="36" spans="14:17">
      <c r="N36" s="132">
        <v>45810</v>
      </c>
      <c r="O36" s="1">
        <v>533</v>
      </c>
      <c r="P36" s="1">
        <v>34</v>
      </c>
      <c r="Q36" s="15">
        <f t="shared" si="1"/>
        <v>567000</v>
      </c>
    </row>
    <row r="37" spans="14:17">
      <c r="N37" s="132">
        <v>45811</v>
      </c>
      <c r="O37" s="1">
        <v>589</v>
      </c>
      <c r="P37" s="1">
        <f>986-O37</f>
        <v>397</v>
      </c>
      <c r="Q37" s="15">
        <f t="shared" si="1"/>
        <v>986000</v>
      </c>
    </row>
    <row r="38" spans="14:17">
      <c r="N38" s="132">
        <v>45812</v>
      </c>
      <c r="O38" s="1">
        <v>453</v>
      </c>
      <c r="P38" s="1">
        <v>23</v>
      </c>
      <c r="Q38" s="15">
        <f t="shared" si="1"/>
        <v>476000</v>
      </c>
    </row>
    <row r="39" spans="14:17">
      <c r="N39" s="132">
        <v>45813</v>
      </c>
      <c r="O39" s="1">
        <v>501</v>
      </c>
      <c r="P39" s="1">
        <v>122</v>
      </c>
      <c r="Q39" s="15">
        <f t="shared" si="1"/>
        <v>623000</v>
      </c>
    </row>
    <row r="40" spans="14:17">
      <c r="N40" s="132">
        <v>45814</v>
      </c>
      <c r="O40" s="1"/>
      <c r="P40" s="1"/>
      <c r="Q40" s="15">
        <f t="shared" si="1"/>
        <v>0</v>
      </c>
    </row>
    <row r="41" spans="14:17">
      <c r="N41" s="132">
        <v>45815</v>
      </c>
      <c r="O41" s="1"/>
      <c r="P41" s="1"/>
      <c r="Q41" s="15">
        <f t="shared" si="1"/>
        <v>0</v>
      </c>
    </row>
  </sheetData>
  <mergeCells count="1">
    <mergeCell ref="A1:E1"/>
  </mergeCells>
  <conditionalFormatting sqref="K6">
    <cfRule type="cellIs" dxfId="2" priority="2" operator="lessThan">
      <formula>0</formula>
    </cfRule>
  </conditionalFormatting>
  <conditionalFormatting sqref="Q10:Q41">
    <cfRule type="cellIs" dxfId="0" priority="1" operator="lessThan">
      <formula>$I$13</formula>
    </cfRule>
  </conditionalFormatting>
  <pageMargins left="0.7" right="0.7" top="0.75" bottom="0.75" header="0.3" footer="0.3"/>
  <pageSetup paperSize="9" scale="90" orientation="portrait" useFirstPageNumber="1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"/>
  <sheetViews>
    <sheetView workbookViewId="0">
      <selection activeCell="G21" sqref="G21"/>
    </sheetView>
  </sheetViews>
  <sheetFormatPr defaultRowHeight="14.4"/>
  <cols>
    <col min="1" max="1" width="18.44140625" bestFit="1" customWidth="1"/>
    <col min="3" max="3" width="15" customWidth="1"/>
    <col min="4" max="4" width="10.6640625" customWidth="1"/>
    <col min="5" max="5" width="19.44140625" customWidth="1"/>
    <col min="6" max="6" width="9" customWidth="1"/>
    <col min="7" max="7" width="12.44140625" bestFit="1" customWidth="1"/>
  </cols>
  <sheetData>
    <row r="1" spans="1:7" ht="18">
      <c r="A1" s="73">
        <f ca="1">TODAY()</f>
        <v>45803</v>
      </c>
      <c r="B1" s="42" t="s">
        <v>85</v>
      </c>
      <c r="C1" s="43"/>
    </row>
    <row r="2" spans="1:7">
      <c r="G2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4"/>
  <sheetViews>
    <sheetView workbookViewId="0">
      <selection activeCell="L12" sqref="L12"/>
    </sheetView>
  </sheetViews>
  <sheetFormatPr defaultRowHeight="14.4"/>
  <cols>
    <col min="1" max="1" width="22.21875" bestFit="1" customWidth="1"/>
    <col min="3" max="3" width="10.109375" style="24" bestFit="1" customWidth="1"/>
  </cols>
  <sheetData>
    <row r="1" spans="1:3" ht="18">
      <c r="A1" s="74">
        <v>45789</v>
      </c>
    </row>
    <row r="2" spans="1:3">
      <c r="A2" s="75" t="s">
        <v>98</v>
      </c>
      <c r="B2" s="75" t="s">
        <v>1</v>
      </c>
      <c r="C2" s="76" t="s">
        <v>99</v>
      </c>
    </row>
    <row r="3" spans="1:3">
      <c r="A3" s="44" t="s">
        <v>79</v>
      </c>
      <c r="B3">
        <v>0</v>
      </c>
      <c r="C3" s="24">
        <v>0</v>
      </c>
    </row>
    <row r="4" spans="1:3">
      <c r="A4" s="44" t="s">
        <v>82</v>
      </c>
      <c r="B4">
        <v>0</v>
      </c>
      <c r="C4" s="24">
        <v>0</v>
      </c>
    </row>
    <row r="5" spans="1:3">
      <c r="A5" s="46" t="s">
        <v>84</v>
      </c>
      <c r="B5">
        <v>0</v>
      </c>
      <c r="C5" s="24">
        <v>0</v>
      </c>
    </row>
    <row r="6" spans="1:3">
      <c r="A6" s="46" t="s">
        <v>86</v>
      </c>
      <c r="B6">
        <v>0</v>
      </c>
      <c r="C6" s="24">
        <v>0</v>
      </c>
    </row>
    <row r="7" spans="1:3">
      <c r="A7" s="47" t="s">
        <v>80</v>
      </c>
      <c r="B7">
        <v>0</v>
      </c>
      <c r="C7" s="24">
        <v>0</v>
      </c>
    </row>
    <row r="8" spans="1:3">
      <c r="A8" s="47" t="s">
        <v>81</v>
      </c>
      <c r="B8">
        <v>0</v>
      </c>
      <c r="C8" s="24">
        <v>0</v>
      </c>
    </row>
    <row r="9" spans="1:3">
      <c r="A9" s="46" t="s">
        <v>55</v>
      </c>
      <c r="B9">
        <v>0</v>
      </c>
      <c r="C9" s="24">
        <v>0</v>
      </c>
    </row>
    <row r="10" spans="1:3">
      <c r="A10" s="44" t="s">
        <v>56</v>
      </c>
      <c r="B10">
        <v>0</v>
      </c>
      <c r="C10" s="24">
        <v>0</v>
      </c>
    </row>
    <row r="11" spans="1:3">
      <c r="A11" s="46" t="s">
        <v>57</v>
      </c>
      <c r="B11">
        <v>0</v>
      </c>
      <c r="C11" s="24">
        <v>0</v>
      </c>
    </row>
    <row r="12" spans="1:3">
      <c r="A12" s="44" t="s">
        <v>58</v>
      </c>
      <c r="B12">
        <v>0</v>
      </c>
      <c r="C12" s="24">
        <v>0</v>
      </c>
    </row>
    <row r="13" spans="1:3">
      <c r="A13" s="46" t="s">
        <v>59</v>
      </c>
      <c r="B13">
        <v>0</v>
      </c>
      <c r="C13" s="24">
        <v>0</v>
      </c>
    </row>
    <row r="14" spans="1:3">
      <c r="A14" s="44" t="s">
        <v>75</v>
      </c>
      <c r="B14">
        <v>0</v>
      </c>
      <c r="C14" s="24">
        <v>0</v>
      </c>
    </row>
    <row r="15" spans="1:3">
      <c r="A15" s="46" t="s">
        <v>60</v>
      </c>
      <c r="B15">
        <v>0</v>
      </c>
      <c r="C15" s="24">
        <v>0</v>
      </c>
    </row>
    <row r="16" spans="1:3">
      <c r="A16" s="45" t="s">
        <v>61</v>
      </c>
      <c r="B16">
        <v>0</v>
      </c>
      <c r="C16" s="24">
        <v>0</v>
      </c>
    </row>
    <row r="17" spans="1:3">
      <c r="A17" s="46" t="s">
        <v>62</v>
      </c>
      <c r="B17">
        <v>0</v>
      </c>
      <c r="C17" s="24">
        <v>0</v>
      </c>
    </row>
    <row r="18" spans="1:3">
      <c r="A18" s="68" t="s">
        <v>83</v>
      </c>
      <c r="B18">
        <v>0</v>
      </c>
      <c r="C18" s="24">
        <v>0</v>
      </c>
    </row>
    <row r="19" spans="1:3">
      <c r="A19" s="69" t="s">
        <v>89</v>
      </c>
      <c r="B19">
        <v>0</v>
      </c>
      <c r="C19" s="24">
        <v>0</v>
      </c>
    </row>
    <row r="20" spans="1:3">
      <c r="A20" s="68" t="s">
        <v>88</v>
      </c>
      <c r="B20">
        <v>0</v>
      </c>
      <c r="C20" s="24">
        <v>0</v>
      </c>
    </row>
    <row r="21" spans="1:3">
      <c r="A21" s="69" t="s">
        <v>94</v>
      </c>
      <c r="B21">
        <v>0</v>
      </c>
      <c r="C21" s="24">
        <v>0</v>
      </c>
    </row>
    <row r="22" spans="1:3">
      <c r="A22" s="68" t="s">
        <v>93</v>
      </c>
      <c r="B22">
        <v>0</v>
      </c>
      <c r="C22" s="24">
        <v>0</v>
      </c>
    </row>
    <row r="23" spans="1:3">
      <c r="A23" s="69" t="s">
        <v>95</v>
      </c>
      <c r="B23">
        <v>0</v>
      </c>
      <c r="C23" s="24">
        <v>0</v>
      </c>
    </row>
    <row r="24" spans="1:3">
      <c r="A24" s="70" t="s">
        <v>87</v>
      </c>
      <c r="B24">
        <v>0</v>
      </c>
      <c r="C24" s="24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BB277"/>
  <sheetViews>
    <sheetView topLeftCell="Q1" zoomScale="70" zoomScaleNormal="70" workbookViewId="0">
      <selection activeCell="AC17" sqref="AC17"/>
    </sheetView>
  </sheetViews>
  <sheetFormatPr defaultRowHeight="14.4"/>
  <cols>
    <col min="6" max="6" width="18.44140625" bestFit="1" customWidth="1"/>
    <col min="16" max="16" width="18.44140625" bestFit="1" customWidth="1"/>
    <col min="21" max="21" width="24.109375" bestFit="1" customWidth="1"/>
    <col min="23" max="23" width="11.21875" bestFit="1" customWidth="1"/>
    <col min="24" max="24" width="9.6640625" bestFit="1" customWidth="1"/>
    <col min="26" max="26" width="24.109375" bestFit="1" customWidth="1"/>
    <col min="27" max="27" width="11.21875" bestFit="1" customWidth="1"/>
    <col min="29" max="29" width="10.21875" bestFit="1" customWidth="1"/>
    <col min="31" max="31" width="23.77734375" bestFit="1" customWidth="1"/>
    <col min="32" max="32" width="6.33203125" bestFit="1" customWidth="1"/>
    <col min="33" max="34" width="9.44140625" bestFit="1" customWidth="1"/>
    <col min="36" max="36" width="23.77734375" bestFit="1" customWidth="1"/>
    <col min="38" max="38" width="9.44140625" bestFit="1" customWidth="1"/>
    <col min="41" max="41" width="24.109375" bestFit="1" customWidth="1"/>
    <col min="43" max="43" width="11.21875" bestFit="1" customWidth="1"/>
    <col min="46" max="46" width="24.109375" bestFit="1" customWidth="1"/>
    <col min="48" max="48" width="11.21875" bestFit="1" customWidth="1"/>
    <col min="51" max="51" width="24.109375" bestFit="1" customWidth="1"/>
    <col min="53" max="53" width="11.21875" bestFit="1" customWidth="1"/>
    <col min="54" max="54" width="10" bestFit="1" customWidth="1"/>
  </cols>
  <sheetData>
    <row r="3" spans="1:54" ht="18">
      <c r="A3" s="33" t="s">
        <v>78</v>
      </c>
      <c r="B3" s="33" t="s">
        <v>1</v>
      </c>
      <c r="C3" s="33" t="s">
        <v>76</v>
      </c>
      <c r="D3" s="33" t="s">
        <v>77</v>
      </c>
      <c r="F3" s="33" t="s">
        <v>78</v>
      </c>
      <c r="G3" s="33" t="s">
        <v>1</v>
      </c>
      <c r="H3" s="33" t="s">
        <v>76</v>
      </c>
      <c r="I3" s="33" t="s">
        <v>77</v>
      </c>
      <c r="K3" s="33" t="s">
        <v>78</v>
      </c>
      <c r="L3" s="33" t="s">
        <v>1</v>
      </c>
      <c r="M3" s="33" t="s">
        <v>76</v>
      </c>
      <c r="N3" s="33" t="s">
        <v>77</v>
      </c>
      <c r="P3" s="55" t="s">
        <v>78</v>
      </c>
      <c r="Q3" s="55" t="s">
        <v>1</v>
      </c>
      <c r="R3" s="55" t="s">
        <v>76</v>
      </c>
      <c r="S3" s="55" t="s">
        <v>77</v>
      </c>
      <c r="V3" s="42" t="s">
        <v>85</v>
      </c>
      <c r="W3" s="43">
        <v>251000</v>
      </c>
      <c r="Z3" s="42" t="s">
        <v>85</v>
      </c>
      <c r="AA3" s="43">
        <v>703000</v>
      </c>
      <c r="AE3" s="71">
        <v>45874</v>
      </c>
      <c r="AF3" t="s">
        <v>85</v>
      </c>
      <c r="AG3" s="25">
        <v>495000</v>
      </c>
      <c r="AJ3" s="71">
        <v>45905</v>
      </c>
      <c r="AK3" t="s">
        <v>85</v>
      </c>
      <c r="AL3" s="25">
        <v>929000</v>
      </c>
      <c r="AO3" s="73">
        <v>45787</v>
      </c>
      <c r="AP3" s="42" t="s">
        <v>85</v>
      </c>
      <c r="AQ3" s="43">
        <v>406000</v>
      </c>
      <c r="AT3" s="73">
        <v>45788</v>
      </c>
      <c r="AU3" s="42" t="s">
        <v>85</v>
      </c>
      <c r="AV3" s="43">
        <v>676000</v>
      </c>
      <c r="AY3" s="73">
        <v>45789</v>
      </c>
      <c r="AZ3" s="42" t="s">
        <v>85</v>
      </c>
      <c r="BA3" s="43">
        <v>505000</v>
      </c>
    </row>
    <row r="4" spans="1:54">
      <c r="A4" s="37" t="s">
        <v>81</v>
      </c>
      <c r="B4" s="34">
        <v>1</v>
      </c>
      <c r="C4" s="35">
        <v>24000</v>
      </c>
      <c r="D4" s="36">
        <v>24000</v>
      </c>
      <c r="F4" s="37" t="s">
        <v>79</v>
      </c>
      <c r="G4" s="34">
        <v>1</v>
      </c>
      <c r="H4" s="35">
        <v>23000</v>
      </c>
      <c r="I4" s="36">
        <v>23000</v>
      </c>
      <c r="K4" s="37" t="s">
        <v>62</v>
      </c>
      <c r="L4" s="34">
        <v>2</v>
      </c>
      <c r="M4" s="35">
        <v>25000</v>
      </c>
      <c r="N4" s="36">
        <v>50000</v>
      </c>
      <c r="P4" s="56" t="s">
        <v>82</v>
      </c>
      <c r="Q4" s="57">
        <v>1</v>
      </c>
      <c r="R4" s="58">
        <v>28000</v>
      </c>
      <c r="S4" s="59">
        <v>28000</v>
      </c>
    </row>
    <row r="5" spans="1:54">
      <c r="A5" s="37" t="s">
        <v>86</v>
      </c>
      <c r="B5" s="34">
        <v>1</v>
      </c>
      <c r="C5" s="35">
        <v>28000</v>
      </c>
      <c r="D5" s="36">
        <v>28000</v>
      </c>
      <c r="F5" s="37" t="s">
        <v>83</v>
      </c>
      <c r="G5" s="34">
        <v>1</v>
      </c>
      <c r="H5" s="35">
        <v>6000</v>
      </c>
      <c r="I5" s="36">
        <v>6000</v>
      </c>
      <c r="K5" s="37" t="s">
        <v>89</v>
      </c>
      <c r="L5" s="34">
        <v>1</v>
      </c>
      <c r="M5" s="35">
        <v>6000</v>
      </c>
      <c r="N5" s="36">
        <v>6000</v>
      </c>
      <c r="P5" s="56" t="s">
        <v>94</v>
      </c>
      <c r="Q5" s="57">
        <v>1</v>
      </c>
      <c r="R5" s="58">
        <v>6000</v>
      </c>
      <c r="S5" s="59">
        <v>6000</v>
      </c>
      <c r="U5" s="67"/>
      <c r="V5" s="54"/>
      <c r="W5" s="54"/>
      <c r="X5" s="54"/>
      <c r="Z5" s="67"/>
      <c r="AA5" s="54"/>
      <c r="AB5" s="54"/>
      <c r="AC5" s="54"/>
      <c r="AE5" s="72">
        <v>45786.485474768517</v>
      </c>
      <c r="AJ5" s="72">
        <v>45787.433537384262</v>
      </c>
      <c r="AT5" s="67">
        <v>45788.475645254628</v>
      </c>
      <c r="AU5" s="54"/>
      <c r="AV5" s="54"/>
      <c r="AW5" s="54"/>
      <c r="AY5" s="67">
        <v>45789.413917708334</v>
      </c>
      <c r="AZ5" s="54"/>
      <c r="BA5" s="54"/>
      <c r="BB5" s="54"/>
    </row>
    <row r="6" spans="1:54">
      <c r="A6" s="37" t="s">
        <v>87</v>
      </c>
      <c r="B6" s="34">
        <v>4</v>
      </c>
      <c r="C6" s="35">
        <v>7000</v>
      </c>
      <c r="D6" s="36">
        <v>28000</v>
      </c>
      <c r="F6" s="37" t="s">
        <v>60</v>
      </c>
      <c r="G6" s="34">
        <v>1</v>
      </c>
      <c r="H6" s="35">
        <v>32000</v>
      </c>
      <c r="I6" s="36">
        <v>32000</v>
      </c>
      <c r="K6" s="37" t="s">
        <v>87</v>
      </c>
      <c r="L6" s="34">
        <v>1</v>
      </c>
      <c r="M6" s="35">
        <v>7000</v>
      </c>
      <c r="N6" s="36">
        <v>7000</v>
      </c>
      <c r="P6" s="56" t="s">
        <v>55</v>
      </c>
      <c r="Q6" s="57">
        <v>1</v>
      </c>
      <c r="R6" s="58">
        <v>35000</v>
      </c>
      <c r="S6" s="59">
        <v>35000</v>
      </c>
      <c r="U6" s="121" t="s">
        <v>0</v>
      </c>
      <c r="V6" s="122"/>
      <c r="W6" s="122"/>
      <c r="X6" s="122"/>
      <c r="Z6" s="121"/>
      <c r="AA6" s="122"/>
      <c r="AB6" s="122"/>
      <c r="AC6" s="122"/>
      <c r="AE6" t="s">
        <v>0</v>
      </c>
      <c r="AJ6" t="s">
        <v>0</v>
      </c>
      <c r="AO6" s="67">
        <v>45787.61497800926</v>
      </c>
      <c r="AP6" s="54"/>
      <c r="AQ6" s="54"/>
      <c r="AR6" s="54"/>
      <c r="AT6" s="121" t="s">
        <v>0</v>
      </c>
      <c r="AU6" s="122"/>
      <c r="AV6" s="122"/>
      <c r="AW6" s="122"/>
      <c r="AY6" s="121" t="s">
        <v>0</v>
      </c>
      <c r="AZ6" s="122"/>
      <c r="BA6" s="122"/>
      <c r="BB6" s="122"/>
    </row>
    <row r="7" spans="1:54">
      <c r="A7" s="37"/>
      <c r="B7" s="34"/>
      <c r="C7" s="35"/>
      <c r="D7" s="36"/>
      <c r="F7" s="37"/>
      <c r="G7" s="34"/>
      <c r="H7" s="35"/>
      <c r="I7" s="36"/>
      <c r="K7" s="37"/>
      <c r="L7" s="34"/>
      <c r="M7" s="35"/>
      <c r="N7" s="36"/>
      <c r="P7" s="56"/>
      <c r="Q7" s="57"/>
      <c r="R7" s="58"/>
      <c r="S7" s="59"/>
      <c r="U7" s="55" t="s">
        <v>78</v>
      </c>
      <c r="V7" s="55" t="s">
        <v>1</v>
      </c>
      <c r="W7" s="55" t="s">
        <v>76</v>
      </c>
      <c r="X7" s="55" t="s">
        <v>77</v>
      </c>
      <c r="Z7" s="55" t="s">
        <v>78</v>
      </c>
      <c r="AA7" s="55" t="s">
        <v>1</v>
      </c>
      <c r="AB7" s="55" t="s">
        <v>76</v>
      </c>
      <c r="AC7" s="55" t="s">
        <v>77</v>
      </c>
      <c r="AE7" t="s">
        <v>78</v>
      </c>
      <c r="AF7" t="s">
        <v>1</v>
      </c>
      <c r="AG7" t="s">
        <v>76</v>
      </c>
      <c r="AH7" t="s">
        <v>77</v>
      </c>
      <c r="AJ7" t="s">
        <v>78</v>
      </c>
      <c r="AK7" t="s">
        <v>1</v>
      </c>
      <c r="AL7" t="s">
        <v>76</v>
      </c>
      <c r="AM7" t="s">
        <v>77</v>
      </c>
      <c r="AO7" s="121" t="s">
        <v>0</v>
      </c>
      <c r="AP7" s="122"/>
      <c r="AQ7" s="122"/>
      <c r="AR7" s="122"/>
      <c r="AT7" s="55" t="s">
        <v>78</v>
      </c>
      <c r="AU7" s="55" t="s">
        <v>1</v>
      </c>
      <c r="AV7" s="55" t="s">
        <v>76</v>
      </c>
      <c r="AW7" s="55" t="s">
        <v>77</v>
      </c>
      <c r="AY7" s="55" t="s">
        <v>78</v>
      </c>
      <c r="AZ7" s="55" t="s">
        <v>1</v>
      </c>
      <c r="BA7" s="55" t="s">
        <v>76</v>
      </c>
      <c r="BB7" s="55" t="s">
        <v>77</v>
      </c>
    </row>
    <row r="8" spans="1:54">
      <c r="A8" s="128" t="s">
        <v>2</v>
      </c>
      <c r="B8" s="129"/>
      <c r="C8" s="129"/>
      <c r="D8" s="38"/>
      <c r="F8" s="128" t="s">
        <v>2</v>
      </c>
      <c r="G8" s="129"/>
      <c r="H8" s="129"/>
      <c r="I8" s="38"/>
      <c r="K8" s="128" t="s">
        <v>2</v>
      </c>
      <c r="L8" s="129"/>
      <c r="M8" s="129"/>
      <c r="N8" s="38"/>
      <c r="P8" s="123" t="s">
        <v>2</v>
      </c>
      <c r="Q8" s="124"/>
      <c r="R8" s="124"/>
      <c r="S8" s="60"/>
      <c r="U8" s="56" t="s">
        <v>75</v>
      </c>
      <c r="V8" s="57">
        <v>1</v>
      </c>
      <c r="W8" s="58">
        <v>32000</v>
      </c>
      <c r="X8" s="59">
        <v>32000</v>
      </c>
      <c r="Z8" s="56" t="s">
        <v>82</v>
      </c>
      <c r="AA8" s="57">
        <v>1</v>
      </c>
      <c r="AB8" s="58">
        <v>28000</v>
      </c>
      <c r="AC8" s="59">
        <v>28000</v>
      </c>
      <c r="AE8" t="s">
        <v>79</v>
      </c>
      <c r="AF8">
        <v>1</v>
      </c>
      <c r="AG8" s="25">
        <v>23000</v>
      </c>
      <c r="AH8" s="25">
        <v>23000</v>
      </c>
      <c r="AJ8" t="s">
        <v>56</v>
      </c>
      <c r="AK8">
        <v>1</v>
      </c>
      <c r="AL8" s="25">
        <v>36000</v>
      </c>
      <c r="AM8" s="25">
        <v>36000</v>
      </c>
      <c r="AO8" s="55" t="s">
        <v>78</v>
      </c>
      <c r="AP8" s="55" t="s">
        <v>1</v>
      </c>
      <c r="AQ8" s="55" t="s">
        <v>76</v>
      </c>
      <c r="AR8" s="55" t="s">
        <v>77</v>
      </c>
      <c r="AT8" s="56" t="s">
        <v>58</v>
      </c>
      <c r="AU8" s="57">
        <v>1</v>
      </c>
      <c r="AV8" s="58">
        <v>30000</v>
      </c>
      <c r="AW8" s="59">
        <v>30000</v>
      </c>
      <c r="AY8" s="56" t="s">
        <v>57</v>
      </c>
      <c r="AZ8" s="57">
        <v>1</v>
      </c>
      <c r="BA8" s="58">
        <v>36000</v>
      </c>
      <c r="BB8" s="59">
        <v>36000</v>
      </c>
    </row>
    <row r="9" spans="1:54">
      <c r="U9" s="56" t="s">
        <v>62</v>
      </c>
      <c r="V9" s="57">
        <v>1</v>
      </c>
      <c r="W9" s="58">
        <v>25000</v>
      </c>
      <c r="X9" s="59">
        <v>25000</v>
      </c>
      <c r="Z9" s="56" t="s">
        <v>93</v>
      </c>
      <c r="AA9" s="57">
        <v>1</v>
      </c>
      <c r="AB9" s="58">
        <v>6000</v>
      </c>
      <c r="AC9" s="59">
        <v>6000</v>
      </c>
      <c r="AE9" t="s">
        <v>87</v>
      </c>
      <c r="AF9">
        <v>1</v>
      </c>
      <c r="AG9" s="25">
        <v>7000</v>
      </c>
      <c r="AH9" s="25">
        <v>7000</v>
      </c>
      <c r="AL9" s="25"/>
      <c r="AM9" s="25"/>
      <c r="AO9" s="56" t="s">
        <v>55</v>
      </c>
      <c r="AP9" s="57">
        <v>2</v>
      </c>
      <c r="AQ9" s="58">
        <v>35000</v>
      </c>
      <c r="AR9" s="59">
        <v>70000</v>
      </c>
      <c r="AT9" s="56" t="s">
        <v>86</v>
      </c>
      <c r="AU9" s="57">
        <v>1</v>
      </c>
      <c r="AV9" s="58">
        <v>28000</v>
      </c>
      <c r="AW9" s="59">
        <v>28000</v>
      </c>
      <c r="AY9" s="56" t="s">
        <v>56</v>
      </c>
      <c r="AZ9" s="57">
        <v>1</v>
      </c>
      <c r="BA9" s="58">
        <v>36000</v>
      </c>
      <c r="BB9" s="59">
        <v>36000</v>
      </c>
    </row>
    <row r="10" spans="1:54">
      <c r="A10" s="33" t="s">
        <v>78</v>
      </c>
      <c r="B10" s="33" t="s">
        <v>1</v>
      </c>
      <c r="C10" s="33" t="s">
        <v>76</v>
      </c>
      <c r="D10" s="33" t="s">
        <v>77</v>
      </c>
      <c r="F10" s="33" t="s">
        <v>78</v>
      </c>
      <c r="G10" s="33" t="s">
        <v>1</v>
      </c>
      <c r="H10" s="33" t="s">
        <v>76</v>
      </c>
      <c r="I10" s="33" t="s">
        <v>77</v>
      </c>
      <c r="K10" s="33" t="s">
        <v>78</v>
      </c>
      <c r="L10" s="33" t="s">
        <v>1</v>
      </c>
      <c r="M10" s="33" t="s">
        <v>76</v>
      </c>
      <c r="N10" s="33" t="s">
        <v>77</v>
      </c>
      <c r="P10" s="55" t="s">
        <v>78</v>
      </c>
      <c r="Q10" s="55" t="s">
        <v>1</v>
      </c>
      <c r="R10" s="55" t="s">
        <v>76</v>
      </c>
      <c r="S10" s="55" t="s">
        <v>77</v>
      </c>
      <c r="U10" s="56"/>
      <c r="V10" s="57"/>
      <c r="W10" s="58"/>
      <c r="X10" s="59"/>
      <c r="Z10" s="56" t="s">
        <v>82</v>
      </c>
      <c r="AA10" s="57">
        <v>1</v>
      </c>
      <c r="AB10" s="58">
        <v>28000</v>
      </c>
      <c r="AC10" s="59">
        <v>28000</v>
      </c>
      <c r="AG10" s="25"/>
      <c r="AH10" s="25"/>
      <c r="AJ10" t="s">
        <v>2</v>
      </c>
      <c r="AM10" s="25">
        <v>36000</v>
      </c>
      <c r="AO10" s="56"/>
      <c r="AP10" s="57"/>
      <c r="AQ10" s="58"/>
      <c r="AR10" s="59"/>
      <c r="AT10" s="56"/>
      <c r="AU10" s="57"/>
      <c r="AV10" s="58"/>
      <c r="AW10" s="59"/>
      <c r="AY10" s="56" t="s">
        <v>55</v>
      </c>
      <c r="AZ10" s="57">
        <v>2</v>
      </c>
      <c r="BA10" s="58">
        <v>35000</v>
      </c>
      <c r="BB10" s="59">
        <v>70000</v>
      </c>
    </row>
    <row r="11" spans="1:54">
      <c r="A11" s="37" t="s">
        <v>82</v>
      </c>
      <c r="B11" s="34">
        <v>1</v>
      </c>
      <c r="C11" s="35">
        <v>28000</v>
      </c>
      <c r="D11" s="36">
        <v>28000</v>
      </c>
      <c r="F11" s="37" t="s">
        <v>56</v>
      </c>
      <c r="G11" s="34">
        <v>1</v>
      </c>
      <c r="H11" s="35">
        <v>36000</v>
      </c>
      <c r="I11" s="36">
        <v>36000</v>
      </c>
      <c r="K11" s="37" t="s">
        <v>84</v>
      </c>
      <c r="L11" s="34">
        <v>1</v>
      </c>
      <c r="M11" s="35">
        <v>23000</v>
      </c>
      <c r="N11" s="36">
        <v>23000</v>
      </c>
      <c r="P11" s="56" t="s">
        <v>61</v>
      </c>
      <c r="Q11" s="57">
        <v>1</v>
      </c>
      <c r="R11" s="58">
        <v>28000</v>
      </c>
      <c r="S11" s="59">
        <v>28000</v>
      </c>
      <c r="U11" s="123" t="s">
        <v>2</v>
      </c>
      <c r="V11" s="124"/>
      <c r="W11" s="124"/>
      <c r="X11" s="60">
        <v>57000</v>
      </c>
      <c r="Z11" s="56" t="s">
        <v>82</v>
      </c>
      <c r="AA11" s="57">
        <v>2</v>
      </c>
      <c r="AB11" s="58">
        <v>28000</v>
      </c>
      <c r="AC11" s="59">
        <v>56000</v>
      </c>
      <c r="AE11" t="s">
        <v>2</v>
      </c>
      <c r="AH11" s="25">
        <v>30000</v>
      </c>
      <c r="AO11" s="123" t="s">
        <v>2</v>
      </c>
      <c r="AP11" s="124"/>
      <c r="AQ11" s="124"/>
      <c r="AR11" s="60">
        <v>70000</v>
      </c>
      <c r="AT11" s="123" t="s">
        <v>2</v>
      </c>
      <c r="AU11" s="124"/>
      <c r="AV11" s="124"/>
      <c r="AW11" s="60">
        <v>58000</v>
      </c>
      <c r="AY11" s="56" t="s">
        <v>58</v>
      </c>
      <c r="AZ11" s="57">
        <v>1</v>
      </c>
      <c r="BA11" s="58">
        <v>30000</v>
      </c>
      <c r="BB11" s="59">
        <v>30000</v>
      </c>
    </row>
    <row r="12" spans="1:54">
      <c r="A12" s="37" t="s">
        <v>86</v>
      </c>
      <c r="B12" s="34">
        <v>1</v>
      </c>
      <c r="C12" s="35">
        <v>28000</v>
      </c>
      <c r="D12" s="36">
        <v>28000</v>
      </c>
      <c r="F12" s="37" t="s">
        <v>75</v>
      </c>
      <c r="G12" s="34">
        <v>1</v>
      </c>
      <c r="H12" s="35">
        <v>32000</v>
      </c>
      <c r="I12" s="36">
        <v>32000</v>
      </c>
      <c r="K12" s="37" t="s">
        <v>88</v>
      </c>
      <c r="L12" s="34">
        <v>1</v>
      </c>
      <c r="M12" s="35">
        <v>7000</v>
      </c>
      <c r="N12" s="36">
        <v>7000</v>
      </c>
      <c r="P12" s="56"/>
      <c r="Q12" s="57"/>
      <c r="R12" s="58"/>
      <c r="S12" s="59"/>
      <c r="Z12" s="56" t="s">
        <v>83</v>
      </c>
      <c r="AA12" s="57">
        <v>2</v>
      </c>
      <c r="AB12" s="58">
        <v>6000</v>
      </c>
      <c r="AC12" s="59">
        <v>12000</v>
      </c>
      <c r="AJ12" s="72">
        <v>45787.433537384262</v>
      </c>
      <c r="AY12" s="56"/>
      <c r="AZ12" s="57"/>
      <c r="BA12" s="58"/>
      <c r="BB12" s="59"/>
    </row>
    <row r="13" spans="1:54">
      <c r="A13" s="37" t="s">
        <v>81</v>
      </c>
      <c r="B13" s="34">
        <v>1</v>
      </c>
      <c r="C13" s="35">
        <v>29000</v>
      </c>
      <c r="D13" s="36">
        <v>29000</v>
      </c>
      <c r="F13" s="37"/>
      <c r="G13" s="34"/>
      <c r="H13" s="35"/>
      <c r="I13" s="36"/>
      <c r="K13" s="37" t="s">
        <v>55</v>
      </c>
      <c r="L13" s="34">
        <v>1</v>
      </c>
      <c r="M13" s="35">
        <v>35000</v>
      </c>
      <c r="N13" s="36">
        <v>35000</v>
      </c>
      <c r="P13" s="123" t="s">
        <v>2</v>
      </c>
      <c r="Q13" s="124"/>
      <c r="R13" s="124"/>
      <c r="S13" s="60"/>
      <c r="U13" s="67"/>
      <c r="V13" s="54"/>
      <c r="W13" s="54"/>
      <c r="X13" s="54"/>
      <c r="Z13" s="56" t="s">
        <v>87</v>
      </c>
      <c r="AA13" s="57">
        <v>2</v>
      </c>
      <c r="AB13" s="58">
        <v>7000</v>
      </c>
      <c r="AC13" s="59">
        <v>14000</v>
      </c>
      <c r="AE13" s="72">
        <v>45786.485474768517</v>
      </c>
      <c r="AJ13" t="s">
        <v>0</v>
      </c>
      <c r="AO13" s="67">
        <v>45787.774132060185</v>
      </c>
      <c r="AP13" s="54"/>
      <c r="AQ13" s="54"/>
      <c r="AR13" s="54"/>
      <c r="AT13" s="67">
        <v>45788.476222337966</v>
      </c>
      <c r="AU13" s="54"/>
      <c r="AV13" s="54"/>
      <c r="AW13" s="54"/>
      <c r="AY13" s="123" t="s">
        <v>2</v>
      </c>
      <c r="AZ13" s="124"/>
      <c r="BA13" s="124"/>
      <c r="BB13" s="60">
        <v>172000</v>
      </c>
    </row>
    <row r="14" spans="1:54">
      <c r="A14" s="37" t="s">
        <v>83</v>
      </c>
      <c r="B14" s="34">
        <v>3</v>
      </c>
      <c r="C14" s="35">
        <v>6000</v>
      </c>
      <c r="D14" s="36">
        <v>18000</v>
      </c>
      <c r="F14" s="128" t="s">
        <v>2</v>
      </c>
      <c r="G14" s="129"/>
      <c r="H14" s="129"/>
      <c r="I14" s="48"/>
      <c r="K14" s="37"/>
      <c r="L14" s="34"/>
      <c r="M14" s="35"/>
      <c r="N14" s="36"/>
      <c r="U14" s="121" t="s">
        <v>0</v>
      </c>
      <c r="V14" s="122"/>
      <c r="W14" s="122"/>
      <c r="X14" s="122"/>
      <c r="Z14" s="56" t="s">
        <v>94</v>
      </c>
      <c r="AA14" s="57">
        <v>2</v>
      </c>
      <c r="AB14" s="58">
        <v>6000</v>
      </c>
      <c r="AC14" s="59">
        <v>12000</v>
      </c>
      <c r="AE14" t="s">
        <v>0</v>
      </c>
      <c r="AJ14" t="s">
        <v>78</v>
      </c>
      <c r="AK14" t="s">
        <v>1</v>
      </c>
      <c r="AL14" t="s">
        <v>76</v>
      </c>
      <c r="AM14" t="s">
        <v>77</v>
      </c>
      <c r="AO14" s="121" t="s">
        <v>0</v>
      </c>
      <c r="AP14" s="122"/>
      <c r="AQ14" s="122"/>
      <c r="AR14" s="122"/>
      <c r="AT14" s="121" t="s">
        <v>0</v>
      </c>
      <c r="AU14" s="122"/>
      <c r="AV14" s="122"/>
      <c r="AW14" s="122"/>
    </row>
    <row r="15" spans="1:54">
      <c r="K15" s="128" t="s">
        <v>2</v>
      </c>
      <c r="L15" s="129"/>
      <c r="M15" s="129"/>
      <c r="N15" s="38"/>
      <c r="P15" s="55" t="s">
        <v>78</v>
      </c>
      <c r="Q15" s="55" t="s">
        <v>1</v>
      </c>
      <c r="R15" s="55" t="s">
        <v>76</v>
      </c>
      <c r="S15" s="55" t="s">
        <v>77</v>
      </c>
      <c r="U15" s="55" t="s">
        <v>78</v>
      </c>
      <c r="V15" s="55" t="s">
        <v>1</v>
      </c>
      <c r="W15" s="55" t="s">
        <v>76</v>
      </c>
      <c r="X15" s="55" t="s">
        <v>77</v>
      </c>
      <c r="Z15" s="56" t="s">
        <v>93</v>
      </c>
      <c r="AA15" s="57">
        <v>2</v>
      </c>
      <c r="AB15" s="58">
        <v>6000</v>
      </c>
      <c r="AC15" s="59">
        <v>12000</v>
      </c>
      <c r="AE15" t="s">
        <v>78</v>
      </c>
      <c r="AF15" t="s">
        <v>1</v>
      </c>
      <c r="AG15" t="s">
        <v>76</v>
      </c>
      <c r="AH15" t="s">
        <v>77</v>
      </c>
      <c r="AJ15" t="s">
        <v>82</v>
      </c>
      <c r="AK15">
        <v>1</v>
      </c>
      <c r="AL15" s="25">
        <v>28000</v>
      </c>
      <c r="AM15" s="25">
        <v>28000</v>
      </c>
      <c r="AO15" s="55" t="s">
        <v>78</v>
      </c>
      <c r="AP15" s="55" t="s">
        <v>1</v>
      </c>
      <c r="AQ15" s="55" t="s">
        <v>76</v>
      </c>
      <c r="AR15" s="55" t="s">
        <v>77</v>
      </c>
      <c r="AT15" s="55" t="s">
        <v>78</v>
      </c>
      <c r="AU15" s="55" t="s">
        <v>1</v>
      </c>
      <c r="AV15" s="55" t="s">
        <v>76</v>
      </c>
      <c r="AW15" s="55" t="s">
        <v>77</v>
      </c>
      <c r="AY15" s="67">
        <v>45789.543167592594</v>
      </c>
      <c r="AZ15" s="54"/>
      <c r="BA15" s="54"/>
      <c r="BB15" s="54"/>
    </row>
    <row r="16" spans="1:54">
      <c r="A16" s="33" t="s">
        <v>78</v>
      </c>
      <c r="B16" s="33" t="s">
        <v>1</v>
      </c>
      <c r="C16" s="33" t="s">
        <v>76</v>
      </c>
      <c r="D16" s="33" t="s">
        <v>77</v>
      </c>
      <c r="F16" s="33" t="s">
        <v>78</v>
      </c>
      <c r="G16" s="33" t="s">
        <v>1</v>
      </c>
      <c r="H16" s="33" t="s">
        <v>76</v>
      </c>
      <c r="I16" s="33" t="s">
        <v>77</v>
      </c>
      <c r="P16" s="56" t="s">
        <v>56</v>
      </c>
      <c r="Q16" s="57">
        <v>1</v>
      </c>
      <c r="R16" s="58">
        <v>36000</v>
      </c>
      <c r="S16" s="59">
        <v>36000</v>
      </c>
      <c r="U16" s="56" t="s">
        <v>79</v>
      </c>
      <c r="V16" s="57">
        <v>1</v>
      </c>
      <c r="W16" s="58">
        <v>23000</v>
      </c>
      <c r="X16" s="59">
        <v>23000</v>
      </c>
      <c r="Z16" s="56"/>
      <c r="AA16" s="57"/>
      <c r="AB16" s="58"/>
      <c r="AC16" s="59"/>
      <c r="AE16" t="s">
        <v>61</v>
      </c>
      <c r="AF16">
        <v>1</v>
      </c>
      <c r="AG16" s="25">
        <v>28000</v>
      </c>
      <c r="AH16" s="25">
        <v>28000</v>
      </c>
      <c r="AJ16" t="s">
        <v>94</v>
      </c>
      <c r="AK16">
        <v>1</v>
      </c>
      <c r="AL16" s="25">
        <v>6000</v>
      </c>
      <c r="AM16" s="25">
        <v>6000</v>
      </c>
      <c r="AO16" s="56" t="s">
        <v>61</v>
      </c>
      <c r="AP16" s="57">
        <v>1</v>
      </c>
      <c r="AQ16" s="58">
        <v>28000</v>
      </c>
      <c r="AR16" s="59">
        <v>28000</v>
      </c>
      <c r="AT16" s="56" t="s">
        <v>58</v>
      </c>
      <c r="AU16" s="57">
        <v>1</v>
      </c>
      <c r="AV16" s="58">
        <v>30000</v>
      </c>
      <c r="AW16" s="59">
        <v>30000</v>
      </c>
      <c r="AY16" s="121" t="s">
        <v>0</v>
      </c>
      <c r="AZ16" s="122"/>
      <c r="BA16" s="122"/>
      <c r="BB16" s="122"/>
    </row>
    <row r="17" spans="1:54">
      <c r="A17" s="37" t="s">
        <v>58</v>
      </c>
      <c r="B17" s="34">
        <v>1</v>
      </c>
      <c r="C17" s="35">
        <v>30000</v>
      </c>
      <c r="D17" s="36">
        <v>30000</v>
      </c>
      <c r="F17" s="37" t="s">
        <v>57</v>
      </c>
      <c r="G17" s="34">
        <v>1</v>
      </c>
      <c r="H17" s="35">
        <v>36000</v>
      </c>
      <c r="I17" s="36">
        <v>36000</v>
      </c>
      <c r="K17" s="33" t="s">
        <v>78</v>
      </c>
      <c r="L17" s="33" t="s">
        <v>1</v>
      </c>
      <c r="M17" s="33" t="s">
        <v>76</v>
      </c>
      <c r="N17" s="33" t="s">
        <v>77</v>
      </c>
      <c r="P17" s="56" t="s">
        <v>84</v>
      </c>
      <c r="Q17" s="57">
        <v>1</v>
      </c>
      <c r="R17" s="58">
        <v>23000</v>
      </c>
      <c r="S17" s="59">
        <v>23000</v>
      </c>
      <c r="U17" s="56"/>
      <c r="V17" s="57"/>
      <c r="W17" s="58"/>
      <c r="X17" s="59"/>
      <c r="Z17" s="123" t="s">
        <v>2</v>
      </c>
      <c r="AA17" s="124"/>
      <c r="AB17" s="124"/>
      <c r="AC17" s="60">
        <v>168000</v>
      </c>
      <c r="AE17" t="s">
        <v>79</v>
      </c>
      <c r="AF17">
        <v>1</v>
      </c>
      <c r="AG17" s="25">
        <v>23000</v>
      </c>
      <c r="AH17" s="25">
        <v>23000</v>
      </c>
      <c r="AJ17" t="s">
        <v>93</v>
      </c>
      <c r="AK17">
        <v>1</v>
      </c>
      <c r="AL17" s="25">
        <v>6000</v>
      </c>
      <c r="AM17" s="25">
        <v>6000</v>
      </c>
      <c r="AO17" s="56" t="s">
        <v>86</v>
      </c>
      <c r="AP17" s="57">
        <v>1</v>
      </c>
      <c r="AQ17" s="58">
        <v>28000</v>
      </c>
      <c r="AR17" s="59">
        <v>28000</v>
      </c>
      <c r="AT17" s="56" t="s">
        <v>86</v>
      </c>
      <c r="AU17" s="57">
        <v>1</v>
      </c>
      <c r="AV17" s="58">
        <v>28000</v>
      </c>
      <c r="AW17" s="59">
        <v>28000</v>
      </c>
      <c r="AY17" s="55" t="s">
        <v>78</v>
      </c>
      <c r="AZ17" s="55" t="s">
        <v>1</v>
      </c>
      <c r="BA17" s="55" t="s">
        <v>76</v>
      </c>
      <c r="BB17" s="55" t="s">
        <v>77</v>
      </c>
    </row>
    <row r="18" spans="1:54">
      <c r="A18" s="37" t="s">
        <v>57</v>
      </c>
      <c r="B18" s="34">
        <v>1</v>
      </c>
      <c r="C18" s="35">
        <v>36000</v>
      </c>
      <c r="D18" s="36">
        <v>36000</v>
      </c>
      <c r="F18" s="37"/>
      <c r="G18" s="34"/>
      <c r="H18" s="35"/>
      <c r="I18" s="36"/>
      <c r="K18" s="37" t="s">
        <v>58</v>
      </c>
      <c r="L18" s="34">
        <v>1</v>
      </c>
      <c r="M18" s="35">
        <v>30000</v>
      </c>
      <c r="N18" s="36">
        <v>30000</v>
      </c>
      <c r="P18" s="56"/>
      <c r="Q18" s="57"/>
      <c r="R18" s="58"/>
      <c r="S18" s="59"/>
      <c r="U18" s="123" t="s">
        <v>2</v>
      </c>
      <c r="V18" s="124"/>
      <c r="W18" s="124"/>
      <c r="X18" s="60">
        <v>23000</v>
      </c>
      <c r="AE18" t="s">
        <v>88</v>
      </c>
      <c r="AF18">
        <v>1</v>
      </c>
      <c r="AG18" s="25">
        <v>7000</v>
      </c>
      <c r="AH18" s="25">
        <v>7000</v>
      </c>
      <c r="AL18" s="25"/>
      <c r="AM18" s="25"/>
      <c r="AO18" s="56" t="s">
        <v>58</v>
      </c>
      <c r="AP18" s="57">
        <v>1</v>
      </c>
      <c r="AQ18" s="58">
        <v>30000</v>
      </c>
      <c r="AR18" s="59">
        <v>30000</v>
      </c>
      <c r="AT18" s="56"/>
      <c r="AU18" s="57"/>
      <c r="AV18" s="58"/>
      <c r="AW18" s="59"/>
      <c r="AY18" s="56" t="s">
        <v>84</v>
      </c>
      <c r="AZ18" s="57">
        <v>1</v>
      </c>
      <c r="BA18" s="58">
        <v>23000</v>
      </c>
      <c r="BB18" s="59">
        <v>23000</v>
      </c>
    </row>
    <row r="19" spans="1:54">
      <c r="A19" s="37"/>
      <c r="B19" s="34"/>
      <c r="C19" s="35"/>
      <c r="D19" s="36"/>
      <c r="F19" s="128" t="s">
        <v>2</v>
      </c>
      <c r="G19" s="129"/>
      <c r="H19" s="129"/>
      <c r="I19" s="38"/>
      <c r="K19" s="37" t="s">
        <v>62</v>
      </c>
      <c r="L19" s="34">
        <v>1</v>
      </c>
      <c r="M19" s="35">
        <v>25000</v>
      </c>
      <c r="N19" s="36">
        <v>25000</v>
      </c>
      <c r="P19" s="123" t="s">
        <v>2</v>
      </c>
      <c r="Q19" s="124"/>
      <c r="R19" s="124"/>
      <c r="S19" s="60"/>
      <c r="Z19" s="67"/>
      <c r="AA19" s="54"/>
      <c r="AB19" s="54"/>
      <c r="AC19" s="54"/>
      <c r="AE19" t="s">
        <v>94</v>
      </c>
      <c r="AF19">
        <v>1</v>
      </c>
      <c r="AG19" s="25">
        <v>6000</v>
      </c>
      <c r="AH19" s="25">
        <v>6000</v>
      </c>
      <c r="AJ19" t="s">
        <v>2</v>
      </c>
      <c r="AM19" s="25">
        <v>40000</v>
      </c>
      <c r="AO19" s="56"/>
      <c r="AP19" s="57"/>
      <c r="AQ19" s="58"/>
      <c r="AR19" s="59"/>
      <c r="AT19" s="123" t="s">
        <v>2</v>
      </c>
      <c r="AU19" s="124"/>
      <c r="AV19" s="124"/>
      <c r="AW19" s="60">
        <v>58000</v>
      </c>
      <c r="AY19" s="56" t="s">
        <v>87</v>
      </c>
      <c r="AZ19" s="57">
        <v>1</v>
      </c>
      <c r="BA19" s="58">
        <v>7000</v>
      </c>
      <c r="BB19" s="59">
        <v>7000</v>
      </c>
    </row>
    <row r="20" spans="1:54">
      <c r="A20" s="33" t="s">
        <v>78</v>
      </c>
      <c r="B20" s="33" t="s">
        <v>1</v>
      </c>
      <c r="C20" s="33" t="s">
        <v>76</v>
      </c>
      <c r="D20" s="33" t="s">
        <v>77</v>
      </c>
      <c r="K20" s="37"/>
      <c r="L20" s="34"/>
      <c r="M20" s="35"/>
      <c r="N20" s="36"/>
      <c r="U20" s="67"/>
      <c r="V20" s="54"/>
      <c r="W20" s="54"/>
      <c r="X20" s="54"/>
      <c r="Z20" s="121" t="s">
        <v>0</v>
      </c>
      <c r="AA20" s="122"/>
      <c r="AB20" s="122"/>
      <c r="AC20" s="122"/>
      <c r="AG20" s="25"/>
      <c r="AH20" s="25"/>
      <c r="AO20" s="123" t="s">
        <v>2</v>
      </c>
      <c r="AP20" s="124"/>
      <c r="AQ20" s="124"/>
      <c r="AR20" s="60">
        <v>86000</v>
      </c>
      <c r="AY20" s="56" t="s">
        <v>89</v>
      </c>
      <c r="AZ20" s="57">
        <v>1</v>
      </c>
      <c r="BA20" s="58">
        <v>6000</v>
      </c>
      <c r="BB20" s="59">
        <v>6000</v>
      </c>
    </row>
    <row r="21" spans="1:54">
      <c r="A21" s="37" t="s">
        <v>86</v>
      </c>
      <c r="B21" s="34">
        <v>1</v>
      </c>
      <c r="C21" s="35">
        <v>28000</v>
      </c>
      <c r="D21" s="36">
        <v>28000</v>
      </c>
      <c r="F21" s="33" t="s">
        <v>78</v>
      </c>
      <c r="G21" s="33" t="s">
        <v>1</v>
      </c>
      <c r="H21" s="33" t="s">
        <v>76</v>
      </c>
      <c r="I21" s="33" t="s">
        <v>77</v>
      </c>
      <c r="K21" s="128" t="s">
        <v>2</v>
      </c>
      <c r="L21" s="129"/>
      <c r="M21" s="129"/>
      <c r="N21" s="38"/>
      <c r="P21" s="55" t="s">
        <v>78</v>
      </c>
      <c r="Q21" s="55" t="s">
        <v>1</v>
      </c>
      <c r="R21" s="55" t="s">
        <v>76</v>
      </c>
      <c r="S21" s="55" t="s">
        <v>77</v>
      </c>
      <c r="U21" s="121" t="s">
        <v>0</v>
      </c>
      <c r="V21" s="122"/>
      <c r="W21" s="122"/>
      <c r="X21" s="122"/>
      <c r="Z21" s="55" t="s">
        <v>78</v>
      </c>
      <c r="AA21" s="55" t="s">
        <v>1</v>
      </c>
      <c r="AB21" s="55" t="s">
        <v>76</v>
      </c>
      <c r="AC21" s="55" t="s">
        <v>77</v>
      </c>
      <c r="AE21" t="s">
        <v>2</v>
      </c>
      <c r="AH21" s="25">
        <v>64000</v>
      </c>
      <c r="AJ21" s="72">
        <v>45787.433537384262</v>
      </c>
      <c r="AT21" s="67">
        <v>45788.476552662039</v>
      </c>
      <c r="AU21" s="54"/>
      <c r="AV21" s="54"/>
      <c r="AW21" s="54"/>
      <c r="AY21" s="56"/>
      <c r="AZ21" s="57"/>
      <c r="BA21" s="58"/>
      <c r="BB21" s="59"/>
    </row>
    <row r="22" spans="1:54">
      <c r="A22" s="37" t="s">
        <v>88</v>
      </c>
      <c r="B22" s="34">
        <v>1</v>
      </c>
      <c r="C22" s="35">
        <v>7000</v>
      </c>
      <c r="D22" s="36">
        <v>7000</v>
      </c>
      <c r="F22" s="37" t="s">
        <v>62</v>
      </c>
      <c r="G22" s="34">
        <v>1</v>
      </c>
      <c r="H22" s="35">
        <v>25000</v>
      </c>
      <c r="I22" s="36">
        <v>25000</v>
      </c>
      <c r="P22" s="56" t="s">
        <v>82</v>
      </c>
      <c r="Q22" s="57">
        <v>3</v>
      </c>
      <c r="R22" s="58">
        <v>28000</v>
      </c>
      <c r="S22" s="59">
        <v>84000</v>
      </c>
      <c r="U22" s="55" t="s">
        <v>78</v>
      </c>
      <c r="V22" s="55" t="s">
        <v>1</v>
      </c>
      <c r="W22" s="55" t="s">
        <v>76</v>
      </c>
      <c r="X22" s="55" t="s">
        <v>77</v>
      </c>
      <c r="Z22" s="56" t="s">
        <v>75</v>
      </c>
      <c r="AA22" s="57">
        <v>1</v>
      </c>
      <c r="AB22" s="58">
        <v>32000</v>
      </c>
      <c r="AC22" s="59">
        <v>32000</v>
      </c>
      <c r="AJ22" t="s">
        <v>0</v>
      </c>
      <c r="AO22" s="67">
        <v>45787.819445717592</v>
      </c>
      <c r="AP22" s="54"/>
      <c r="AQ22" s="54"/>
      <c r="AR22" s="54"/>
      <c r="AT22" s="121" t="s">
        <v>0</v>
      </c>
      <c r="AU22" s="122"/>
      <c r="AV22" s="122"/>
      <c r="AW22" s="122"/>
      <c r="AY22" s="123" t="s">
        <v>2</v>
      </c>
      <c r="AZ22" s="124"/>
      <c r="BA22" s="124"/>
      <c r="BB22" s="60">
        <v>36000</v>
      </c>
    </row>
    <row r="23" spans="1:54">
      <c r="A23" s="37" t="s">
        <v>56</v>
      </c>
      <c r="B23" s="34">
        <v>1</v>
      </c>
      <c r="C23" s="35">
        <v>36000</v>
      </c>
      <c r="D23" s="36">
        <v>36000</v>
      </c>
      <c r="F23" s="37" t="s">
        <v>83</v>
      </c>
      <c r="G23" s="34">
        <v>1</v>
      </c>
      <c r="H23" s="35">
        <v>6000</v>
      </c>
      <c r="I23" s="36">
        <v>6000</v>
      </c>
      <c r="K23" s="55" t="s">
        <v>78</v>
      </c>
      <c r="L23" s="55" t="s">
        <v>1</v>
      </c>
      <c r="M23" s="55" t="s">
        <v>76</v>
      </c>
      <c r="N23" s="55" t="s">
        <v>77</v>
      </c>
      <c r="P23" s="56" t="s">
        <v>87</v>
      </c>
      <c r="Q23" s="57">
        <v>4</v>
      </c>
      <c r="R23" s="58">
        <v>7000</v>
      </c>
      <c r="S23" s="59">
        <v>28000</v>
      </c>
      <c r="U23" s="56" t="s">
        <v>58</v>
      </c>
      <c r="V23" s="57">
        <v>3</v>
      </c>
      <c r="W23" s="58">
        <v>30000</v>
      </c>
      <c r="X23" s="59">
        <v>90000</v>
      </c>
      <c r="Z23" s="56" t="s">
        <v>62</v>
      </c>
      <c r="AA23" s="57">
        <v>1</v>
      </c>
      <c r="AB23" s="58">
        <v>25000</v>
      </c>
      <c r="AC23" s="59">
        <v>25000</v>
      </c>
      <c r="AE23" s="72">
        <v>45786.485474768517</v>
      </c>
      <c r="AJ23" t="s">
        <v>78</v>
      </c>
      <c r="AK23" t="s">
        <v>1</v>
      </c>
      <c r="AL23" t="s">
        <v>76</v>
      </c>
      <c r="AM23" t="s">
        <v>77</v>
      </c>
      <c r="AO23" s="121" t="s">
        <v>0</v>
      </c>
      <c r="AP23" s="122"/>
      <c r="AQ23" s="122"/>
      <c r="AR23" s="122"/>
      <c r="AT23" s="55" t="s">
        <v>78</v>
      </c>
      <c r="AU23" s="55" t="s">
        <v>1</v>
      </c>
      <c r="AV23" s="55" t="s">
        <v>76</v>
      </c>
      <c r="AW23" s="55" t="s">
        <v>77</v>
      </c>
    </row>
    <row r="24" spans="1:54">
      <c r="A24" s="37" t="s">
        <v>89</v>
      </c>
      <c r="B24" s="34">
        <v>1</v>
      </c>
      <c r="C24" s="35">
        <v>6000</v>
      </c>
      <c r="D24" s="36">
        <v>6000</v>
      </c>
      <c r="F24" s="37" t="s">
        <v>56</v>
      </c>
      <c r="G24" s="34">
        <v>1</v>
      </c>
      <c r="H24" s="35">
        <v>36000</v>
      </c>
      <c r="I24" s="36">
        <v>36000</v>
      </c>
      <c r="K24" s="56" t="s">
        <v>58</v>
      </c>
      <c r="L24" s="57">
        <v>1</v>
      </c>
      <c r="M24" s="58">
        <v>30000</v>
      </c>
      <c r="N24" s="59">
        <v>30000</v>
      </c>
      <c r="P24" s="56" t="s">
        <v>55</v>
      </c>
      <c r="Q24" s="57">
        <v>1</v>
      </c>
      <c r="R24" s="58">
        <v>35000</v>
      </c>
      <c r="S24" s="59">
        <v>35000</v>
      </c>
      <c r="U24" s="56" t="s">
        <v>84</v>
      </c>
      <c r="V24" s="57">
        <v>1</v>
      </c>
      <c r="W24" s="58">
        <v>23000</v>
      </c>
      <c r="X24" s="59">
        <v>23000</v>
      </c>
      <c r="Z24" s="56" t="s">
        <v>55</v>
      </c>
      <c r="AA24" s="57">
        <v>1</v>
      </c>
      <c r="AB24" s="58">
        <v>35000</v>
      </c>
      <c r="AC24" s="59">
        <v>35000</v>
      </c>
      <c r="AE24" t="s">
        <v>0</v>
      </c>
      <c r="AJ24" t="s">
        <v>57</v>
      </c>
      <c r="AK24">
        <v>1</v>
      </c>
      <c r="AL24" s="25">
        <v>36000</v>
      </c>
      <c r="AM24" s="25">
        <v>36000</v>
      </c>
      <c r="AO24" s="55" t="s">
        <v>78</v>
      </c>
      <c r="AP24" s="55" t="s">
        <v>1</v>
      </c>
      <c r="AQ24" s="55" t="s">
        <v>76</v>
      </c>
      <c r="AR24" s="55" t="s">
        <v>77</v>
      </c>
      <c r="AT24" s="56" t="s">
        <v>58</v>
      </c>
      <c r="AU24" s="57">
        <v>1</v>
      </c>
      <c r="AV24" s="58">
        <v>30000</v>
      </c>
      <c r="AW24" s="59">
        <v>30000</v>
      </c>
      <c r="AY24" s="67">
        <v>45789.661906018518</v>
      </c>
      <c r="AZ24" s="54"/>
      <c r="BA24" s="54"/>
      <c r="BB24" s="54"/>
    </row>
    <row r="25" spans="1:54">
      <c r="A25" s="37" t="s">
        <v>58</v>
      </c>
      <c r="B25" s="34">
        <v>1</v>
      </c>
      <c r="C25" s="35">
        <v>30000</v>
      </c>
      <c r="D25" s="36">
        <v>30000</v>
      </c>
      <c r="F25" s="37" t="s">
        <v>89</v>
      </c>
      <c r="G25" s="34">
        <v>1</v>
      </c>
      <c r="H25" s="35">
        <v>6000</v>
      </c>
      <c r="I25" s="36">
        <v>6000</v>
      </c>
      <c r="K25" s="56"/>
      <c r="L25" s="57"/>
      <c r="M25" s="58"/>
      <c r="N25" s="59"/>
      <c r="P25" s="56"/>
      <c r="Q25" s="57"/>
      <c r="R25" s="58"/>
      <c r="S25" s="59"/>
      <c r="U25" s="56" t="s">
        <v>79</v>
      </c>
      <c r="V25" s="57">
        <v>2</v>
      </c>
      <c r="W25" s="58">
        <v>23000</v>
      </c>
      <c r="X25" s="59">
        <v>46000</v>
      </c>
      <c r="Z25" s="56" t="s">
        <v>86</v>
      </c>
      <c r="AA25" s="57">
        <v>1</v>
      </c>
      <c r="AB25" s="58">
        <v>28000</v>
      </c>
      <c r="AC25" s="59">
        <v>28000</v>
      </c>
      <c r="AE25" t="s">
        <v>78</v>
      </c>
      <c r="AF25" t="s">
        <v>1</v>
      </c>
      <c r="AG25" t="s">
        <v>76</v>
      </c>
      <c r="AH25" t="s">
        <v>77</v>
      </c>
      <c r="AJ25" t="s">
        <v>79</v>
      </c>
      <c r="AK25">
        <v>1</v>
      </c>
      <c r="AL25" s="25">
        <v>23000</v>
      </c>
      <c r="AM25" s="25">
        <v>23000</v>
      </c>
      <c r="AO25" s="56" t="s">
        <v>61</v>
      </c>
      <c r="AP25" s="57">
        <v>1</v>
      </c>
      <c r="AQ25" s="58">
        <v>28000</v>
      </c>
      <c r="AR25" s="59">
        <v>28000</v>
      </c>
      <c r="AT25" s="56" t="s">
        <v>86</v>
      </c>
      <c r="AU25" s="57">
        <v>1</v>
      </c>
      <c r="AV25" s="58">
        <v>28000</v>
      </c>
      <c r="AW25" s="59">
        <v>28000</v>
      </c>
      <c r="AY25" s="121" t="s">
        <v>0</v>
      </c>
      <c r="AZ25" s="122"/>
      <c r="BA25" s="122"/>
      <c r="BB25" s="122"/>
    </row>
    <row r="26" spans="1:54">
      <c r="A26" s="37" t="s">
        <v>82</v>
      </c>
      <c r="B26" s="34">
        <v>1</v>
      </c>
      <c r="C26" s="35">
        <v>28000</v>
      </c>
      <c r="D26" s="36">
        <v>28000</v>
      </c>
      <c r="F26" s="37"/>
      <c r="G26" s="34"/>
      <c r="H26" s="35"/>
      <c r="I26" s="36"/>
      <c r="K26" s="123" t="s">
        <v>2</v>
      </c>
      <c r="L26" s="124"/>
      <c r="M26" s="124"/>
      <c r="N26" s="60"/>
      <c r="P26" s="123" t="s">
        <v>2</v>
      </c>
      <c r="Q26" s="124"/>
      <c r="R26" s="124"/>
      <c r="S26" s="60"/>
      <c r="U26" s="56" t="s">
        <v>83</v>
      </c>
      <c r="V26" s="57">
        <v>1</v>
      </c>
      <c r="W26" s="58">
        <v>6000</v>
      </c>
      <c r="X26" s="59">
        <v>6000</v>
      </c>
      <c r="Z26" s="56" t="s">
        <v>94</v>
      </c>
      <c r="AA26" s="57">
        <v>1</v>
      </c>
      <c r="AB26" s="58">
        <v>6000</v>
      </c>
      <c r="AC26" s="59">
        <v>6000</v>
      </c>
      <c r="AE26" t="s">
        <v>86</v>
      </c>
      <c r="AF26">
        <v>2</v>
      </c>
      <c r="AG26" s="25">
        <v>28000</v>
      </c>
      <c r="AH26" s="25">
        <v>56000</v>
      </c>
      <c r="AJ26" t="s">
        <v>89</v>
      </c>
      <c r="AK26">
        <v>1</v>
      </c>
      <c r="AL26" s="25">
        <v>6000</v>
      </c>
      <c r="AM26" s="25">
        <v>6000</v>
      </c>
      <c r="AO26" s="56"/>
      <c r="AP26" s="57"/>
      <c r="AQ26" s="58"/>
      <c r="AR26" s="59"/>
      <c r="AT26" s="56"/>
      <c r="AU26" s="57"/>
      <c r="AV26" s="58"/>
      <c r="AW26" s="59"/>
      <c r="AY26" s="55" t="s">
        <v>78</v>
      </c>
      <c r="AZ26" s="55" t="s">
        <v>1</v>
      </c>
      <c r="BA26" s="55" t="s">
        <v>76</v>
      </c>
      <c r="BB26" s="55" t="s">
        <v>77</v>
      </c>
    </row>
    <row r="27" spans="1:54">
      <c r="A27" s="37" t="s">
        <v>83</v>
      </c>
      <c r="B27" s="34">
        <v>1</v>
      </c>
      <c r="C27" s="35">
        <v>6000</v>
      </c>
      <c r="D27" s="36">
        <v>6000</v>
      </c>
      <c r="F27" s="128" t="s">
        <v>2</v>
      </c>
      <c r="G27" s="129"/>
      <c r="H27" s="129"/>
      <c r="I27" s="38"/>
      <c r="U27" s="56" t="s">
        <v>83</v>
      </c>
      <c r="V27" s="57">
        <v>1</v>
      </c>
      <c r="W27" s="58">
        <v>6000</v>
      </c>
      <c r="X27" s="59">
        <v>6000</v>
      </c>
      <c r="Z27" s="56" t="s">
        <v>88</v>
      </c>
      <c r="AA27" s="57">
        <v>1</v>
      </c>
      <c r="AB27" s="58">
        <v>7000</v>
      </c>
      <c r="AC27" s="59">
        <v>7000</v>
      </c>
      <c r="AE27" t="s">
        <v>89</v>
      </c>
      <c r="AF27">
        <v>1</v>
      </c>
      <c r="AG27" s="25">
        <v>6000</v>
      </c>
      <c r="AH27" s="25">
        <v>6000</v>
      </c>
      <c r="AL27" s="25"/>
      <c r="AM27" s="25"/>
      <c r="AO27" s="123" t="s">
        <v>2</v>
      </c>
      <c r="AP27" s="124"/>
      <c r="AQ27" s="124"/>
      <c r="AR27" s="60">
        <v>28000</v>
      </c>
      <c r="AT27" s="123" t="s">
        <v>2</v>
      </c>
      <c r="AU27" s="124"/>
      <c r="AV27" s="124"/>
      <c r="AW27" s="60">
        <v>58000</v>
      </c>
      <c r="AY27" s="56" t="s">
        <v>91</v>
      </c>
      <c r="AZ27" s="57">
        <v>3</v>
      </c>
      <c r="BA27" s="58">
        <v>15000</v>
      </c>
      <c r="BB27" s="59">
        <v>45000</v>
      </c>
    </row>
    <row r="28" spans="1:54">
      <c r="A28" s="37" t="s">
        <v>86</v>
      </c>
      <c r="B28" s="34">
        <v>1</v>
      </c>
      <c r="C28" s="35">
        <v>28000</v>
      </c>
      <c r="D28" s="36">
        <v>28000</v>
      </c>
      <c r="K28" s="55" t="s">
        <v>78</v>
      </c>
      <c r="L28" s="55" t="s">
        <v>1</v>
      </c>
      <c r="M28" s="55" t="s">
        <v>76</v>
      </c>
      <c r="N28" s="55" t="s">
        <v>77</v>
      </c>
      <c r="P28" s="55" t="s">
        <v>78</v>
      </c>
      <c r="Q28" s="55" t="s">
        <v>1</v>
      </c>
      <c r="R28" s="55" t="s">
        <v>76</v>
      </c>
      <c r="S28" s="55" t="s">
        <v>77</v>
      </c>
      <c r="U28" s="56"/>
      <c r="V28" s="57"/>
      <c r="W28" s="58"/>
      <c r="X28" s="59"/>
      <c r="Z28" s="56" t="s">
        <v>79</v>
      </c>
      <c r="AA28" s="57">
        <v>1</v>
      </c>
      <c r="AB28" s="58">
        <v>23000</v>
      </c>
      <c r="AC28" s="59">
        <v>23000</v>
      </c>
      <c r="AE28" t="s">
        <v>94</v>
      </c>
      <c r="AF28">
        <v>1</v>
      </c>
      <c r="AG28" s="25">
        <v>6000</v>
      </c>
      <c r="AH28" s="25">
        <v>6000</v>
      </c>
      <c r="AJ28" t="s">
        <v>2</v>
      </c>
      <c r="AM28" s="25">
        <v>65000</v>
      </c>
      <c r="AY28" s="56"/>
      <c r="AZ28" s="57"/>
      <c r="BA28" s="58"/>
      <c r="BB28" s="59"/>
    </row>
    <row r="29" spans="1:54">
      <c r="A29" s="37" t="s">
        <v>88</v>
      </c>
      <c r="B29" s="34">
        <v>1</v>
      </c>
      <c r="C29" s="35">
        <v>7000</v>
      </c>
      <c r="D29" s="36">
        <v>7000</v>
      </c>
      <c r="F29" s="33" t="s">
        <v>78</v>
      </c>
      <c r="G29" s="33" t="s">
        <v>1</v>
      </c>
      <c r="H29" s="33" t="s">
        <v>76</v>
      </c>
      <c r="I29" s="33" t="s">
        <v>77</v>
      </c>
      <c r="K29" s="56" t="s">
        <v>82</v>
      </c>
      <c r="L29" s="57">
        <v>1</v>
      </c>
      <c r="M29" s="58">
        <v>28000</v>
      </c>
      <c r="N29" s="59">
        <v>28000</v>
      </c>
      <c r="P29" s="56" t="s">
        <v>56</v>
      </c>
      <c r="Q29" s="57">
        <v>1</v>
      </c>
      <c r="R29" s="58">
        <v>36000</v>
      </c>
      <c r="S29" s="59">
        <v>36000</v>
      </c>
      <c r="U29" s="123" t="s">
        <v>2</v>
      </c>
      <c r="V29" s="124"/>
      <c r="W29" s="124"/>
      <c r="X29" s="60">
        <v>171000</v>
      </c>
      <c r="Z29" s="56" t="s">
        <v>94</v>
      </c>
      <c r="AA29" s="57">
        <v>1</v>
      </c>
      <c r="AB29" s="58">
        <v>6000</v>
      </c>
      <c r="AC29" s="59">
        <v>6000</v>
      </c>
      <c r="AE29" t="s">
        <v>93</v>
      </c>
      <c r="AF29">
        <v>1</v>
      </c>
      <c r="AG29" s="25">
        <v>6000</v>
      </c>
      <c r="AH29" s="25">
        <v>6000</v>
      </c>
      <c r="AO29" s="67">
        <v>45787.855205671294</v>
      </c>
      <c r="AP29" s="54"/>
      <c r="AQ29" s="54"/>
      <c r="AR29" s="54"/>
      <c r="AT29" s="67">
        <v>45788.527921064815</v>
      </c>
      <c r="AU29" s="54"/>
      <c r="AV29" s="54"/>
      <c r="AW29" s="54"/>
      <c r="AY29" s="123" t="s">
        <v>2</v>
      </c>
      <c r="AZ29" s="124"/>
      <c r="BA29" s="124"/>
      <c r="BB29" s="60">
        <v>45000</v>
      </c>
    </row>
    <row r="30" spans="1:54">
      <c r="A30" s="37" t="s">
        <v>83</v>
      </c>
      <c r="B30" s="34">
        <v>1</v>
      </c>
      <c r="C30" s="35">
        <v>6000</v>
      </c>
      <c r="D30" s="36">
        <v>6000</v>
      </c>
      <c r="F30" s="37" t="s">
        <v>86</v>
      </c>
      <c r="G30" s="34">
        <v>1</v>
      </c>
      <c r="H30" s="35">
        <v>28000</v>
      </c>
      <c r="I30" s="36">
        <v>28000</v>
      </c>
      <c r="K30" s="56" t="s">
        <v>88</v>
      </c>
      <c r="L30" s="57">
        <v>1</v>
      </c>
      <c r="M30" s="58">
        <v>7000</v>
      </c>
      <c r="N30" s="59">
        <v>7000</v>
      </c>
      <c r="P30" s="56"/>
      <c r="Q30" s="57"/>
      <c r="R30" s="58"/>
      <c r="S30" s="59"/>
      <c r="Z30" s="56" t="s">
        <v>88</v>
      </c>
      <c r="AA30" s="57">
        <v>1</v>
      </c>
      <c r="AB30" s="58">
        <v>7000</v>
      </c>
      <c r="AC30" s="59">
        <v>7000</v>
      </c>
      <c r="AE30" t="s">
        <v>87</v>
      </c>
      <c r="AF30">
        <v>1</v>
      </c>
      <c r="AG30" s="25">
        <v>7000</v>
      </c>
      <c r="AH30" s="25">
        <v>7000</v>
      </c>
      <c r="AJ30" s="72">
        <v>45787.433537384262</v>
      </c>
      <c r="AO30" s="121" t="s">
        <v>0</v>
      </c>
      <c r="AP30" s="122"/>
      <c r="AQ30" s="122"/>
      <c r="AR30" s="122"/>
      <c r="AT30" s="121" t="s">
        <v>0</v>
      </c>
      <c r="AU30" s="122"/>
      <c r="AV30" s="122"/>
      <c r="AW30" s="122"/>
    </row>
    <row r="31" spans="1:54">
      <c r="A31" s="37"/>
      <c r="B31" s="34"/>
      <c r="C31" s="35"/>
      <c r="D31" s="36"/>
      <c r="F31" s="37" t="s">
        <v>95</v>
      </c>
      <c r="G31" s="34">
        <v>1</v>
      </c>
      <c r="H31" s="35">
        <v>6000</v>
      </c>
      <c r="I31" s="36">
        <v>6000</v>
      </c>
      <c r="K31" s="56" t="s">
        <v>86</v>
      </c>
      <c r="L31" s="57">
        <v>1</v>
      </c>
      <c r="M31" s="58">
        <v>28000</v>
      </c>
      <c r="N31" s="59">
        <v>28000</v>
      </c>
      <c r="P31" s="123" t="s">
        <v>2</v>
      </c>
      <c r="Q31" s="124"/>
      <c r="R31" s="124"/>
      <c r="S31" s="60"/>
      <c r="U31" t="s">
        <v>98</v>
      </c>
      <c r="V31" t="s">
        <v>1</v>
      </c>
      <c r="W31" s="24" t="s">
        <v>99</v>
      </c>
      <c r="Z31" s="56" t="s">
        <v>56</v>
      </c>
      <c r="AA31" s="57">
        <v>1</v>
      </c>
      <c r="AB31" s="58">
        <v>36000</v>
      </c>
      <c r="AC31" s="59">
        <v>36000</v>
      </c>
      <c r="AE31" t="s">
        <v>56</v>
      </c>
      <c r="AF31">
        <v>1</v>
      </c>
      <c r="AG31" s="25">
        <v>36000</v>
      </c>
      <c r="AH31" s="25">
        <v>36000</v>
      </c>
      <c r="AJ31" t="s">
        <v>0</v>
      </c>
      <c r="AO31" s="55" t="s">
        <v>78</v>
      </c>
      <c r="AP31" s="55" t="s">
        <v>1</v>
      </c>
      <c r="AQ31" s="55" t="s">
        <v>76</v>
      </c>
      <c r="AR31" s="55" t="s">
        <v>77</v>
      </c>
      <c r="AT31" s="55" t="s">
        <v>78</v>
      </c>
      <c r="AU31" s="55" t="s">
        <v>1</v>
      </c>
      <c r="AV31" s="55" t="s">
        <v>76</v>
      </c>
      <c r="AW31" s="55" t="s">
        <v>77</v>
      </c>
      <c r="AY31" s="67">
        <v>45789.816390624997</v>
      </c>
      <c r="AZ31" s="54"/>
      <c r="BA31" s="54"/>
      <c r="BB31" s="54"/>
    </row>
    <row r="32" spans="1:54">
      <c r="A32" s="128" t="s">
        <v>2</v>
      </c>
      <c r="B32" s="129"/>
      <c r="C32" s="129"/>
      <c r="D32" s="38"/>
      <c r="F32" s="37"/>
      <c r="G32" s="34"/>
      <c r="H32" s="35"/>
      <c r="I32" s="36"/>
      <c r="K32" s="56" t="s">
        <v>94</v>
      </c>
      <c r="L32" s="57">
        <v>1</v>
      </c>
      <c r="M32" s="58">
        <v>6000</v>
      </c>
      <c r="N32" s="59">
        <v>6000</v>
      </c>
      <c r="U32" s="44" t="s">
        <v>79</v>
      </c>
      <c r="V32">
        <v>3</v>
      </c>
      <c r="W32" s="24">
        <v>69000</v>
      </c>
      <c r="Z32" s="56" t="s">
        <v>87</v>
      </c>
      <c r="AA32" s="57">
        <v>1</v>
      </c>
      <c r="AB32" s="58">
        <v>7000</v>
      </c>
      <c r="AC32" s="59">
        <v>7000</v>
      </c>
      <c r="AE32" t="s">
        <v>95</v>
      </c>
      <c r="AF32">
        <v>1</v>
      </c>
      <c r="AG32" s="25">
        <v>6000</v>
      </c>
      <c r="AH32" s="25">
        <v>6000</v>
      </c>
      <c r="AJ32" t="s">
        <v>78</v>
      </c>
      <c r="AK32" t="s">
        <v>1</v>
      </c>
      <c r="AL32" t="s">
        <v>76</v>
      </c>
      <c r="AM32" t="s">
        <v>77</v>
      </c>
      <c r="AO32" s="56" t="s">
        <v>79</v>
      </c>
      <c r="AP32" s="57">
        <v>1</v>
      </c>
      <c r="AQ32" s="58">
        <v>23000</v>
      </c>
      <c r="AR32" s="59">
        <v>23000</v>
      </c>
      <c r="AT32" s="56" t="s">
        <v>81</v>
      </c>
      <c r="AU32" s="57">
        <v>1</v>
      </c>
      <c r="AV32" s="58">
        <v>29000</v>
      </c>
      <c r="AW32" s="59">
        <v>29000</v>
      </c>
      <c r="AY32" s="121" t="s">
        <v>0</v>
      </c>
      <c r="AZ32" s="122"/>
      <c r="BA32" s="122"/>
      <c r="BB32" s="122"/>
    </row>
    <row r="33" spans="1:54">
      <c r="F33" s="128" t="s">
        <v>2</v>
      </c>
      <c r="G33" s="129"/>
      <c r="H33" s="129"/>
      <c r="I33" s="38"/>
      <c r="K33" s="56"/>
      <c r="L33" s="57"/>
      <c r="M33" s="58"/>
      <c r="N33" s="59"/>
      <c r="P33" s="55" t="s">
        <v>78</v>
      </c>
      <c r="Q33" s="55" t="s">
        <v>1</v>
      </c>
      <c r="R33" s="55" t="s">
        <v>76</v>
      </c>
      <c r="S33" s="55" t="s">
        <v>77</v>
      </c>
      <c r="U33" s="44" t="s">
        <v>82</v>
      </c>
      <c r="V33">
        <v>0</v>
      </c>
      <c r="W33" s="24">
        <v>0</v>
      </c>
      <c r="Z33" s="56" t="s">
        <v>87</v>
      </c>
      <c r="AA33" s="57">
        <v>1</v>
      </c>
      <c r="AB33" s="58">
        <v>7000</v>
      </c>
      <c r="AC33" s="59">
        <v>7000</v>
      </c>
      <c r="AE33" t="s">
        <v>82</v>
      </c>
      <c r="AF33">
        <v>1</v>
      </c>
      <c r="AG33" s="25">
        <v>28000</v>
      </c>
      <c r="AH33" s="25">
        <v>28000</v>
      </c>
      <c r="AJ33" t="s">
        <v>82</v>
      </c>
      <c r="AK33">
        <v>2</v>
      </c>
      <c r="AL33" s="25">
        <v>28000</v>
      </c>
      <c r="AM33" s="25">
        <v>56000</v>
      </c>
      <c r="AO33" s="56" t="s">
        <v>87</v>
      </c>
      <c r="AP33" s="57">
        <v>1</v>
      </c>
      <c r="AQ33" s="58">
        <v>7000</v>
      </c>
      <c r="AR33" s="59">
        <v>7000</v>
      </c>
      <c r="AT33" s="56" t="s">
        <v>82</v>
      </c>
      <c r="AU33" s="57">
        <v>1</v>
      </c>
      <c r="AV33" s="58">
        <v>28000</v>
      </c>
      <c r="AW33" s="59">
        <v>28000</v>
      </c>
      <c r="AY33" s="55" t="s">
        <v>78</v>
      </c>
      <c r="AZ33" s="55" t="s">
        <v>1</v>
      </c>
      <c r="BA33" s="55" t="s">
        <v>76</v>
      </c>
      <c r="BB33" s="55" t="s">
        <v>77</v>
      </c>
    </row>
    <row r="34" spans="1:54">
      <c r="A34" s="33" t="s">
        <v>78</v>
      </c>
      <c r="B34" s="33" t="s">
        <v>1</v>
      </c>
      <c r="C34" s="33" t="s">
        <v>76</v>
      </c>
      <c r="D34" s="33" t="s">
        <v>77</v>
      </c>
      <c r="K34" s="123" t="s">
        <v>2</v>
      </c>
      <c r="L34" s="124"/>
      <c r="M34" s="124"/>
      <c r="N34" s="60"/>
      <c r="P34" s="56" t="s">
        <v>56</v>
      </c>
      <c r="Q34" s="57">
        <v>1</v>
      </c>
      <c r="R34" s="58">
        <v>36000</v>
      </c>
      <c r="S34" s="59">
        <v>36000</v>
      </c>
      <c r="U34" s="46" t="s">
        <v>84</v>
      </c>
      <c r="V34">
        <v>1</v>
      </c>
      <c r="W34" s="24">
        <v>23000</v>
      </c>
      <c r="Z34" s="56" t="s">
        <v>87</v>
      </c>
      <c r="AA34" s="57">
        <v>1</v>
      </c>
      <c r="AB34" s="58">
        <v>7000</v>
      </c>
      <c r="AC34" s="59">
        <v>7000</v>
      </c>
      <c r="AE34" t="s">
        <v>83</v>
      </c>
      <c r="AF34">
        <v>1</v>
      </c>
      <c r="AG34" s="25">
        <v>6000</v>
      </c>
      <c r="AH34" s="25">
        <v>6000</v>
      </c>
      <c r="AJ34" t="s">
        <v>89</v>
      </c>
      <c r="AK34">
        <v>2</v>
      </c>
      <c r="AL34" s="25">
        <v>6000</v>
      </c>
      <c r="AM34" s="25">
        <v>12000</v>
      </c>
      <c r="AO34" s="56" t="s">
        <v>88</v>
      </c>
      <c r="AP34" s="57">
        <v>1</v>
      </c>
      <c r="AQ34" s="58">
        <v>7000</v>
      </c>
      <c r="AR34" s="59">
        <v>7000</v>
      </c>
      <c r="AT34" s="56"/>
      <c r="AU34" s="57"/>
      <c r="AV34" s="58"/>
      <c r="AW34" s="59"/>
      <c r="AY34" s="56" t="s">
        <v>75</v>
      </c>
      <c r="AZ34" s="57">
        <v>1</v>
      </c>
      <c r="BA34" s="58">
        <v>32000</v>
      </c>
      <c r="BB34" s="59">
        <v>32000</v>
      </c>
    </row>
    <row r="35" spans="1:54">
      <c r="A35" s="37" t="s">
        <v>82</v>
      </c>
      <c r="B35" s="34">
        <v>1</v>
      </c>
      <c r="C35" s="35">
        <v>28000</v>
      </c>
      <c r="D35" s="36">
        <v>28000</v>
      </c>
      <c r="F35" s="33" t="s">
        <v>78</v>
      </c>
      <c r="G35" s="33" t="s">
        <v>1</v>
      </c>
      <c r="H35" s="33" t="s">
        <v>76</v>
      </c>
      <c r="I35" s="33" t="s">
        <v>77</v>
      </c>
      <c r="P35" s="56"/>
      <c r="Q35" s="57"/>
      <c r="R35" s="58"/>
      <c r="S35" s="59"/>
      <c r="U35" s="46" t="s">
        <v>86</v>
      </c>
      <c r="V35">
        <v>0</v>
      </c>
      <c r="W35" s="24">
        <v>0</v>
      </c>
      <c r="Z35" s="56" t="s">
        <v>87</v>
      </c>
      <c r="AA35" s="57">
        <v>1</v>
      </c>
      <c r="AB35" s="58">
        <v>7000</v>
      </c>
      <c r="AC35" s="59">
        <v>7000</v>
      </c>
      <c r="AE35" t="s">
        <v>82</v>
      </c>
      <c r="AF35">
        <v>1</v>
      </c>
      <c r="AG35" s="25">
        <v>28000</v>
      </c>
      <c r="AH35" s="25">
        <v>28000</v>
      </c>
      <c r="AL35" s="25"/>
      <c r="AM35" s="25"/>
      <c r="AO35" s="56"/>
      <c r="AP35" s="57"/>
      <c r="AQ35" s="58"/>
      <c r="AR35" s="59"/>
      <c r="AT35" s="123" t="s">
        <v>2</v>
      </c>
      <c r="AU35" s="124"/>
      <c r="AV35" s="124"/>
      <c r="AW35" s="60">
        <v>57000</v>
      </c>
      <c r="AY35" s="56" t="s">
        <v>61</v>
      </c>
      <c r="AZ35" s="57">
        <v>1</v>
      </c>
      <c r="BA35" s="58">
        <v>28000</v>
      </c>
      <c r="BB35" s="59">
        <v>28000</v>
      </c>
    </row>
    <row r="36" spans="1:54">
      <c r="A36" s="37" t="s">
        <v>89</v>
      </c>
      <c r="B36" s="34">
        <v>1</v>
      </c>
      <c r="C36" s="35">
        <v>6000</v>
      </c>
      <c r="D36" s="36">
        <v>0</v>
      </c>
      <c r="F36" s="37" t="s">
        <v>82</v>
      </c>
      <c r="G36" s="34">
        <v>2</v>
      </c>
      <c r="H36" s="35">
        <v>28000</v>
      </c>
      <c r="I36" s="36">
        <v>56000</v>
      </c>
      <c r="K36" s="55" t="s">
        <v>78</v>
      </c>
      <c r="L36" s="55" t="s">
        <v>1</v>
      </c>
      <c r="M36" s="55" t="s">
        <v>76</v>
      </c>
      <c r="N36" s="55" t="s">
        <v>77</v>
      </c>
      <c r="P36" s="123" t="s">
        <v>2</v>
      </c>
      <c r="Q36" s="124"/>
      <c r="R36" s="124"/>
      <c r="S36" s="60"/>
      <c r="U36" s="47" t="s">
        <v>80</v>
      </c>
      <c r="V36">
        <v>0</v>
      </c>
      <c r="W36" s="24">
        <v>0</v>
      </c>
      <c r="Z36" s="56" t="s">
        <v>87</v>
      </c>
      <c r="AA36" s="57">
        <v>1</v>
      </c>
      <c r="AB36" s="58">
        <v>7000</v>
      </c>
      <c r="AC36" s="59">
        <v>7000</v>
      </c>
      <c r="AE36" t="s">
        <v>89</v>
      </c>
      <c r="AF36">
        <v>1</v>
      </c>
      <c r="AG36" s="25">
        <v>6000</v>
      </c>
      <c r="AH36" s="25">
        <v>6000</v>
      </c>
      <c r="AJ36" t="s">
        <v>2</v>
      </c>
      <c r="AM36" s="25">
        <v>68000</v>
      </c>
      <c r="AO36" s="123" t="s">
        <v>2</v>
      </c>
      <c r="AP36" s="124"/>
      <c r="AQ36" s="124"/>
      <c r="AR36" s="60">
        <v>37000</v>
      </c>
      <c r="AY36" s="56"/>
      <c r="AZ36" s="57"/>
      <c r="BA36" s="58"/>
      <c r="BB36" s="59"/>
    </row>
    <row r="37" spans="1:54">
      <c r="A37" s="37"/>
      <c r="B37" s="34"/>
      <c r="C37" s="35"/>
      <c r="D37" s="36"/>
      <c r="F37" s="37" t="s">
        <v>95</v>
      </c>
      <c r="G37" s="34">
        <v>2</v>
      </c>
      <c r="H37" s="35">
        <v>6000</v>
      </c>
      <c r="I37" s="36">
        <v>12000</v>
      </c>
      <c r="K37" s="56" t="s">
        <v>82</v>
      </c>
      <c r="L37" s="57">
        <v>1</v>
      </c>
      <c r="M37" s="58">
        <v>28000</v>
      </c>
      <c r="N37" s="59">
        <v>28000</v>
      </c>
      <c r="U37" s="47" t="s">
        <v>81</v>
      </c>
      <c r="V37">
        <v>0</v>
      </c>
      <c r="W37" s="24">
        <v>0</v>
      </c>
      <c r="Z37" s="56" t="s">
        <v>87</v>
      </c>
      <c r="AA37" s="57">
        <v>1</v>
      </c>
      <c r="AB37" s="58">
        <v>7000</v>
      </c>
      <c r="AC37" s="59">
        <v>7000</v>
      </c>
      <c r="AG37" s="25"/>
      <c r="AH37" s="25"/>
      <c r="AT37" s="67">
        <v>45788.632143634262</v>
      </c>
      <c r="AU37" s="54"/>
      <c r="AV37" s="54"/>
      <c r="AW37" s="54"/>
      <c r="AY37" s="123" t="s">
        <v>2</v>
      </c>
      <c r="AZ37" s="124"/>
      <c r="BA37" s="124"/>
      <c r="BB37" s="60">
        <v>60000</v>
      </c>
    </row>
    <row r="38" spans="1:54">
      <c r="A38" s="128" t="s">
        <v>2</v>
      </c>
      <c r="B38" s="129"/>
      <c r="C38" s="129"/>
      <c r="D38" s="38"/>
      <c r="F38" s="37" t="s">
        <v>88</v>
      </c>
      <c r="G38" s="34">
        <v>10</v>
      </c>
      <c r="H38" s="35">
        <v>7000</v>
      </c>
      <c r="I38" s="36">
        <v>70000</v>
      </c>
      <c r="K38" s="56" t="s">
        <v>88</v>
      </c>
      <c r="L38" s="57">
        <v>1</v>
      </c>
      <c r="M38" s="58">
        <v>7000</v>
      </c>
      <c r="N38" s="59">
        <v>7000</v>
      </c>
      <c r="P38" s="55" t="s">
        <v>78</v>
      </c>
      <c r="Q38" s="55" t="s">
        <v>1</v>
      </c>
      <c r="R38" s="55" t="s">
        <v>76</v>
      </c>
      <c r="S38" s="55" t="s">
        <v>77</v>
      </c>
      <c r="U38" s="46" t="s">
        <v>55</v>
      </c>
      <c r="V38">
        <v>0</v>
      </c>
      <c r="W38" s="24">
        <v>0</v>
      </c>
      <c r="Z38" s="56" t="s">
        <v>82</v>
      </c>
      <c r="AA38" s="57">
        <v>1</v>
      </c>
      <c r="AB38" s="58">
        <v>28000</v>
      </c>
      <c r="AC38" s="59">
        <v>28000</v>
      </c>
      <c r="AE38" t="s">
        <v>2</v>
      </c>
      <c r="AH38" s="25">
        <v>191000</v>
      </c>
      <c r="AJ38" s="72">
        <v>45787.433537384262</v>
      </c>
      <c r="AO38" s="67">
        <v>45787.865097222224</v>
      </c>
      <c r="AP38" s="54"/>
      <c r="AQ38" s="54"/>
      <c r="AR38" s="54"/>
      <c r="AT38" s="121" t="s">
        <v>0</v>
      </c>
      <c r="AU38" s="122"/>
      <c r="AV38" s="122"/>
      <c r="AW38" s="122"/>
    </row>
    <row r="39" spans="1:54">
      <c r="F39" s="37" t="s">
        <v>91</v>
      </c>
      <c r="G39" s="34">
        <v>4</v>
      </c>
      <c r="H39" s="35">
        <v>15000</v>
      </c>
      <c r="I39" s="36">
        <v>60000</v>
      </c>
      <c r="K39" s="56" t="s">
        <v>94</v>
      </c>
      <c r="L39" s="57">
        <v>1</v>
      </c>
      <c r="M39" s="58">
        <v>6000</v>
      </c>
      <c r="N39" s="59">
        <v>6000</v>
      </c>
      <c r="P39" s="56" t="s">
        <v>62</v>
      </c>
      <c r="Q39" s="57">
        <v>1</v>
      </c>
      <c r="R39" s="58">
        <v>25000</v>
      </c>
      <c r="S39" s="59">
        <v>25000</v>
      </c>
      <c r="U39" s="44" t="s">
        <v>56</v>
      </c>
      <c r="V39">
        <v>0</v>
      </c>
      <c r="W39" s="24">
        <v>0</v>
      </c>
      <c r="Z39" s="56" t="s">
        <v>82</v>
      </c>
      <c r="AA39" s="57">
        <v>1</v>
      </c>
      <c r="AB39" s="58">
        <v>28000</v>
      </c>
      <c r="AC39" s="59">
        <v>28000</v>
      </c>
      <c r="AJ39" t="s">
        <v>0</v>
      </c>
      <c r="AO39" s="121" t="s">
        <v>0</v>
      </c>
      <c r="AP39" s="122"/>
      <c r="AQ39" s="122"/>
      <c r="AR39" s="122"/>
      <c r="AT39" s="55" t="s">
        <v>78</v>
      </c>
      <c r="AU39" s="55" t="s">
        <v>1</v>
      </c>
      <c r="AV39" s="55" t="s">
        <v>76</v>
      </c>
      <c r="AW39" s="55" t="s">
        <v>77</v>
      </c>
      <c r="AY39" s="67">
        <v>45789.855908680554</v>
      </c>
      <c r="AZ39" s="54"/>
      <c r="BA39" s="54"/>
      <c r="BB39" s="54"/>
    </row>
    <row r="40" spans="1:54">
      <c r="A40" s="33" t="s">
        <v>78</v>
      </c>
      <c r="B40" s="33" t="s">
        <v>1</v>
      </c>
      <c r="C40" s="33" t="s">
        <v>76</v>
      </c>
      <c r="D40" s="33" t="s">
        <v>77</v>
      </c>
      <c r="F40" s="37"/>
      <c r="G40" s="34"/>
      <c r="H40" s="35"/>
      <c r="I40" s="36"/>
      <c r="K40" s="56" t="s">
        <v>86</v>
      </c>
      <c r="L40" s="57">
        <v>1</v>
      </c>
      <c r="M40" s="58">
        <v>28000</v>
      </c>
      <c r="N40" s="59">
        <v>28000</v>
      </c>
      <c r="P40" s="56"/>
      <c r="Q40" s="57"/>
      <c r="R40" s="58"/>
      <c r="S40" s="59"/>
      <c r="U40" s="46" t="s">
        <v>57</v>
      </c>
      <c r="V40">
        <v>0</v>
      </c>
      <c r="W40" s="24">
        <v>0</v>
      </c>
      <c r="Z40" s="56" t="s">
        <v>82</v>
      </c>
      <c r="AA40" s="57">
        <v>1</v>
      </c>
      <c r="AB40" s="58">
        <v>28000</v>
      </c>
      <c r="AC40" s="59">
        <v>28000</v>
      </c>
      <c r="AE40" s="72">
        <v>45786.485474768517</v>
      </c>
      <c r="AJ40" t="s">
        <v>78</v>
      </c>
      <c r="AK40" t="s">
        <v>1</v>
      </c>
      <c r="AL40" t="s">
        <v>76</v>
      </c>
      <c r="AM40" t="s">
        <v>77</v>
      </c>
      <c r="AO40" s="55" t="s">
        <v>78</v>
      </c>
      <c r="AP40" s="55" t="s">
        <v>1</v>
      </c>
      <c r="AQ40" s="55" t="s">
        <v>76</v>
      </c>
      <c r="AR40" s="55" t="s">
        <v>77</v>
      </c>
      <c r="AT40" s="56" t="s">
        <v>86</v>
      </c>
      <c r="AU40" s="57">
        <v>3</v>
      </c>
      <c r="AV40" s="58">
        <v>28000</v>
      </c>
      <c r="AW40" s="59">
        <v>84000</v>
      </c>
      <c r="AY40" s="121" t="s">
        <v>0</v>
      </c>
      <c r="AZ40" s="122"/>
      <c r="BA40" s="122"/>
      <c r="BB40" s="122"/>
    </row>
    <row r="41" spans="1:54">
      <c r="A41" s="37" t="s">
        <v>57</v>
      </c>
      <c r="B41" s="34">
        <v>1</v>
      </c>
      <c r="C41" s="35">
        <v>36000</v>
      </c>
      <c r="D41" s="36">
        <v>36000</v>
      </c>
      <c r="F41" s="128" t="s">
        <v>2</v>
      </c>
      <c r="G41" s="129"/>
      <c r="H41" s="129"/>
      <c r="I41" s="38"/>
      <c r="K41" s="56" t="s">
        <v>88</v>
      </c>
      <c r="L41" s="57">
        <v>1</v>
      </c>
      <c r="M41" s="58">
        <v>7000</v>
      </c>
      <c r="N41" s="59">
        <v>7000</v>
      </c>
      <c r="P41" s="123" t="s">
        <v>2</v>
      </c>
      <c r="Q41" s="124"/>
      <c r="R41" s="124"/>
      <c r="S41" s="60"/>
      <c r="U41" s="44" t="s">
        <v>58</v>
      </c>
      <c r="V41">
        <v>3</v>
      </c>
      <c r="W41" s="24">
        <v>90000</v>
      </c>
      <c r="Z41" s="56" t="s">
        <v>82</v>
      </c>
      <c r="AA41" s="57">
        <v>1</v>
      </c>
      <c r="AB41" s="58">
        <v>28000</v>
      </c>
      <c r="AC41" s="59">
        <v>28000</v>
      </c>
      <c r="AE41" t="s">
        <v>0</v>
      </c>
      <c r="AJ41" t="s">
        <v>56</v>
      </c>
      <c r="AK41">
        <v>1</v>
      </c>
      <c r="AL41" s="25">
        <v>36000</v>
      </c>
      <c r="AM41" s="25">
        <v>36000</v>
      </c>
      <c r="AO41" s="56" t="s">
        <v>86</v>
      </c>
      <c r="AP41" s="57">
        <v>1</v>
      </c>
      <c r="AQ41" s="58">
        <v>28000</v>
      </c>
      <c r="AR41" s="59">
        <v>28000</v>
      </c>
      <c r="AT41" s="56" t="s">
        <v>87</v>
      </c>
      <c r="AU41" s="57">
        <v>3</v>
      </c>
      <c r="AV41" s="58">
        <v>7000</v>
      </c>
      <c r="AW41" s="59">
        <v>21000</v>
      </c>
      <c r="AY41" s="55" t="s">
        <v>78</v>
      </c>
      <c r="AZ41" s="55" t="s">
        <v>1</v>
      </c>
      <c r="BA41" s="55" t="s">
        <v>76</v>
      </c>
      <c r="BB41" s="55" t="s">
        <v>77</v>
      </c>
    </row>
    <row r="42" spans="1:54">
      <c r="A42" s="37" t="s">
        <v>56</v>
      </c>
      <c r="B42" s="34">
        <v>1</v>
      </c>
      <c r="C42" s="35">
        <v>36000</v>
      </c>
      <c r="D42" s="36">
        <v>36000</v>
      </c>
      <c r="K42" s="56" t="s">
        <v>94</v>
      </c>
      <c r="L42" s="57">
        <v>1</v>
      </c>
      <c r="M42" s="58">
        <v>6000</v>
      </c>
      <c r="N42" s="59">
        <v>6000</v>
      </c>
      <c r="U42" s="46" t="s">
        <v>59</v>
      </c>
      <c r="V42">
        <v>0</v>
      </c>
      <c r="W42" s="24">
        <v>0</v>
      </c>
      <c r="Z42" s="56" t="s">
        <v>82</v>
      </c>
      <c r="AA42" s="57">
        <v>1</v>
      </c>
      <c r="AB42" s="58">
        <v>28000</v>
      </c>
      <c r="AC42" s="59">
        <v>28000</v>
      </c>
      <c r="AE42" t="s">
        <v>78</v>
      </c>
      <c r="AF42" t="s">
        <v>1</v>
      </c>
      <c r="AG42" t="s">
        <v>76</v>
      </c>
      <c r="AH42" t="s">
        <v>77</v>
      </c>
      <c r="AL42" s="25"/>
      <c r="AM42" s="25"/>
      <c r="AO42" s="56" t="s">
        <v>56</v>
      </c>
      <c r="AP42" s="57">
        <v>1</v>
      </c>
      <c r="AQ42" s="58">
        <v>36000</v>
      </c>
      <c r="AR42" s="59">
        <v>36000</v>
      </c>
      <c r="AT42" s="56" t="s">
        <v>89</v>
      </c>
      <c r="AU42" s="57">
        <v>3</v>
      </c>
      <c r="AV42" s="58">
        <v>6000</v>
      </c>
      <c r="AW42" s="59">
        <v>18000</v>
      </c>
      <c r="AY42" s="56" t="s">
        <v>56</v>
      </c>
      <c r="AZ42" s="57">
        <v>1</v>
      </c>
      <c r="BA42" s="58">
        <v>36000</v>
      </c>
      <c r="BB42" s="59">
        <v>36000</v>
      </c>
    </row>
    <row r="43" spans="1:54">
      <c r="A43" s="37"/>
      <c r="B43" s="34"/>
      <c r="C43" s="35"/>
      <c r="D43" s="36"/>
      <c r="F43" s="33" t="s">
        <v>78</v>
      </c>
      <c r="G43" s="33" t="s">
        <v>1</v>
      </c>
      <c r="H43" s="33" t="s">
        <v>76</v>
      </c>
      <c r="I43" s="33" t="s">
        <v>77</v>
      </c>
      <c r="K43" s="56"/>
      <c r="L43" s="57"/>
      <c r="M43" s="58"/>
      <c r="N43" s="59"/>
      <c r="P43" s="55" t="s">
        <v>78</v>
      </c>
      <c r="Q43" s="55" t="s">
        <v>1</v>
      </c>
      <c r="R43" s="55" t="s">
        <v>76</v>
      </c>
      <c r="S43" s="55" t="s">
        <v>77</v>
      </c>
      <c r="U43" s="44" t="s">
        <v>75</v>
      </c>
      <c r="V43">
        <v>1</v>
      </c>
      <c r="W43" s="24">
        <v>32000</v>
      </c>
      <c r="Z43" s="56"/>
      <c r="AA43" s="57"/>
      <c r="AB43" s="58"/>
      <c r="AC43" s="59"/>
      <c r="AE43" t="s">
        <v>56</v>
      </c>
      <c r="AF43">
        <v>1</v>
      </c>
      <c r="AG43" s="25">
        <v>36000</v>
      </c>
      <c r="AH43" s="25">
        <v>36000</v>
      </c>
      <c r="AJ43" t="s">
        <v>2</v>
      </c>
      <c r="AM43" s="25">
        <v>36000</v>
      </c>
      <c r="AO43" s="56"/>
      <c r="AP43" s="57"/>
      <c r="AQ43" s="58"/>
      <c r="AR43" s="59"/>
      <c r="AT43" s="77" t="s">
        <v>100</v>
      </c>
      <c r="AU43" s="57">
        <v>3</v>
      </c>
      <c r="AV43" s="58">
        <v>6000</v>
      </c>
      <c r="AW43" s="59">
        <v>18000</v>
      </c>
      <c r="AY43" s="56"/>
      <c r="AZ43" s="57"/>
      <c r="BA43" s="58"/>
      <c r="BB43" s="59"/>
    </row>
    <row r="44" spans="1:54">
      <c r="A44" s="128" t="s">
        <v>2</v>
      </c>
      <c r="B44" s="129"/>
      <c r="C44" s="129"/>
      <c r="D44" s="38"/>
      <c r="F44" s="37" t="s">
        <v>82</v>
      </c>
      <c r="G44" s="34">
        <v>1</v>
      </c>
      <c r="H44" s="35">
        <v>28000</v>
      </c>
      <c r="I44" s="36">
        <v>28000</v>
      </c>
      <c r="K44" s="123" t="s">
        <v>2</v>
      </c>
      <c r="L44" s="124"/>
      <c r="M44" s="124"/>
      <c r="N44" s="60"/>
      <c r="P44" s="56" t="s">
        <v>81</v>
      </c>
      <c r="Q44" s="57">
        <v>1</v>
      </c>
      <c r="R44" s="58">
        <v>29000</v>
      </c>
      <c r="S44" s="59">
        <v>29000</v>
      </c>
      <c r="U44" s="46" t="s">
        <v>60</v>
      </c>
      <c r="V44">
        <v>0</v>
      </c>
      <c r="W44" s="24">
        <v>0</v>
      </c>
      <c r="Z44" s="123" t="s">
        <v>2</v>
      </c>
      <c r="AA44" s="124"/>
      <c r="AB44" s="124"/>
      <c r="AC44" s="60">
        <v>387000</v>
      </c>
      <c r="AE44" t="s">
        <v>86</v>
      </c>
      <c r="AF44">
        <v>1</v>
      </c>
      <c r="AG44" s="25">
        <v>28000</v>
      </c>
      <c r="AH44" s="25">
        <v>28000</v>
      </c>
      <c r="AO44" s="123" t="s">
        <v>2</v>
      </c>
      <c r="AP44" s="124"/>
      <c r="AQ44" s="124"/>
      <c r="AR44" s="60">
        <v>64000</v>
      </c>
      <c r="AT44" s="56"/>
      <c r="AU44" s="57"/>
      <c r="AV44" s="58"/>
      <c r="AW44" s="59"/>
      <c r="AY44" s="123" t="s">
        <v>2</v>
      </c>
      <c r="AZ44" s="124"/>
      <c r="BA44" s="124"/>
      <c r="BB44" s="60">
        <v>36000</v>
      </c>
    </row>
    <row r="45" spans="1:54">
      <c r="F45" s="37" t="s">
        <v>93</v>
      </c>
      <c r="G45" s="34">
        <v>1</v>
      </c>
      <c r="H45" s="35">
        <v>6000</v>
      </c>
      <c r="I45" s="36">
        <v>6000</v>
      </c>
      <c r="P45" s="56" t="s">
        <v>94</v>
      </c>
      <c r="Q45" s="57">
        <v>1</v>
      </c>
      <c r="R45" s="58">
        <v>6000</v>
      </c>
      <c r="S45" s="59">
        <v>6000</v>
      </c>
      <c r="U45" s="45" t="s">
        <v>61</v>
      </c>
      <c r="V45">
        <v>0</v>
      </c>
      <c r="W45" s="24">
        <v>0</v>
      </c>
      <c r="AE45" t="s">
        <v>89</v>
      </c>
      <c r="AF45">
        <v>1</v>
      </c>
      <c r="AG45" s="25">
        <v>6000</v>
      </c>
      <c r="AH45" s="25">
        <v>6000</v>
      </c>
      <c r="AJ45" s="72">
        <v>45787.433537384262</v>
      </c>
      <c r="AT45" s="123" t="s">
        <v>2</v>
      </c>
      <c r="AU45" s="124"/>
      <c r="AV45" s="124"/>
      <c r="AW45" s="60">
        <v>141000</v>
      </c>
    </row>
    <row r="46" spans="1:54">
      <c r="A46" s="33" t="s">
        <v>78</v>
      </c>
      <c r="B46" s="33" t="s">
        <v>1</v>
      </c>
      <c r="C46" s="33" t="s">
        <v>76</v>
      </c>
      <c r="D46" s="33" t="s">
        <v>77</v>
      </c>
      <c r="F46" s="37" t="s">
        <v>56</v>
      </c>
      <c r="G46" s="34">
        <v>1</v>
      </c>
      <c r="H46" s="35">
        <v>36000</v>
      </c>
      <c r="I46" s="36">
        <v>36000</v>
      </c>
      <c r="K46" s="55" t="s">
        <v>78</v>
      </c>
      <c r="L46" s="55" t="s">
        <v>1</v>
      </c>
      <c r="M46" s="55" t="s">
        <v>76</v>
      </c>
      <c r="N46" s="55" t="s">
        <v>77</v>
      </c>
      <c r="P46" s="56" t="s">
        <v>88</v>
      </c>
      <c r="Q46" s="57">
        <v>1</v>
      </c>
      <c r="R46" s="58">
        <v>7000</v>
      </c>
      <c r="S46" s="59">
        <v>7000</v>
      </c>
      <c r="U46" s="46" t="s">
        <v>62</v>
      </c>
      <c r="V46">
        <v>1</v>
      </c>
      <c r="W46" s="24">
        <v>25000</v>
      </c>
      <c r="Z46" s="67"/>
      <c r="AA46" s="54"/>
      <c r="AB46" s="54"/>
      <c r="AC46" s="54"/>
      <c r="AE46" t="s">
        <v>84</v>
      </c>
      <c r="AF46">
        <v>1</v>
      </c>
      <c r="AG46" s="25">
        <v>23000</v>
      </c>
      <c r="AH46" s="25">
        <v>23000</v>
      </c>
      <c r="AJ46" t="s">
        <v>0</v>
      </c>
      <c r="AO46" s="67">
        <v>45787.876785763889</v>
      </c>
      <c r="AP46" s="54"/>
      <c r="AQ46" s="54"/>
      <c r="AR46" s="54"/>
      <c r="AY46" s="67">
        <v>45789.880688425925</v>
      </c>
      <c r="AZ46" s="54"/>
      <c r="BA46" s="54"/>
      <c r="BB46" s="54"/>
    </row>
    <row r="47" spans="1:54">
      <c r="A47" s="37" t="s">
        <v>82</v>
      </c>
      <c r="B47" s="34">
        <v>2</v>
      </c>
      <c r="C47" s="35">
        <v>28000</v>
      </c>
      <c r="D47" s="36">
        <v>56000</v>
      </c>
      <c r="F47" s="37"/>
      <c r="G47" s="34"/>
      <c r="H47" s="35"/>
      <c r="I47" s="36"/>
      <c r="K47" s="56" t="s">
        <v>82</v>
      </c>
      <c r="L47" s="57">
        <v>1</v>
      </c>
      <c r="M47" s="58">
        <v>28000</v>
      </c>
      <c r="N47" s="59">
        <v>28000</v>
      </c>
      <c r="P47" s="56"/>
      <c r="Q47" s="57"/>
      <c r="R47" s="58"/>
      <c r="S47" s="59"/>
      <c r="U47" s="68" t="s">
        <v>83</v>
      </c>
      <c r="V47">
        <v>2</v>
      </c>
      <c r="W47" s="24">
        <v>12000</v>
      </c>
      <c r="Z47" s="121" t="s">
        <v>0</v>
      </c>
      <c r="AA47" s="122"/>
      <c r="AB47" s="122"/>
      <c r="AC47" s="122"/>
      <c r="AE47" t="s">
        <v>89</v>
      </c>
      <c r="AF47">
        <v>1</v>
      </c>
      <c r="AG47" s="25">
        <v>6000</v>
      </c>
      <c r="AH47" s="25">
        <v>6000</v>
      </c>
      <c r="AJ47" t="s">
        <v>78</v>
      </c>
      <c r="AK47" t="s">
        <v>1</v>
      </c>
      <c r="AL47" t="s">
        <v>76</v>
      </c>
      <c r="AM47" t="s">
        <v>77</v>
      </c>
      <c r="AO47" s="121" t="s">
        <v>0</v>
      </c>
      <c r="AP47" s="122"/>
      <c r="AQ47" s="122"/>
      <c r="AR47" s="122"/>
      <c r="AT47" s="67">
        <v>45788.768918055554</v>
      </c>
      <c r="AU47" s="54"/>
      <c r="AV47" s="54"/>
      <c r="AW47" s="54"/>
      <c r="AY47" s="121" t="s">
        <v>0</v>
      </c>
      <c r="AZ47" s="122"/>
      <c r="BA47" s="122"/>
      <c r="BB47" s="122"/>
    </row>
    <row r="48" spans="1:54">
      <c r="A48" s="37" t="s">
        <v>83</v>
      </c>
      <c r="B48" s="34">
        <v>1</v>
      </c>
      <c r="C48" s="35">
        <v>6000</v>
      </c>
      <c r="D48" s="36">
        <v>6000</v>
      </c>
      <c r="F48" s="128" t="s">
        <v>2</v>
      </c>
      <c r="G48" s="129"/>
      <c r="H48" s="129"/>
      <c r="I48" s="38"/>
      <c r="K48" s="56" t="s">
        <v>89</v>
      </c>
      <c r="L48" s="57">
        <v>1</v>
      </c>
      <c r="M48" s="58">
        <v>6000</v>
      </c>
      <c r="N48" s="59">
        <v>6000</v>
      </c>
      <c r="P48" s="123" t="s">
        <v>2</v>
      </c>
      <c r="Q48" s="124"/>
      <c r="R48" s="124"/>
      <c r="S48" s="60"/>
      <c r="Z48" s="55" t="s">
        <v>78</v>
      </c>
      <c r="AA48" s="55" t="s">
        <v>1</v>
      </c>
      <c r="AB48" s="55" t="s">
        <v>76</v>
      </c>
      <c r="AC48" s="55" t="s">
        <v>77</v>
      </c>
      <c r="AG48" s="25"/>
      <c r="AH48" s="25"/>
      <c r="AJ48" t="s">
        <v>58</v>
      </c>
      <c r="AK48">
        <v>1</v>
      </c>
      <c r="AL48" s="25">
        <v>30000</v>
      </c>
      <c r="AM48" s="25">
        <v>30000</v>
      </c>
      <c r="AO48" s="55" t="s">
        <v>78</v>
      </c>
      <c r="AP48" s="55" t="s">
        <v>1</v>
      </c>
      <c r="AQ48" s="55" t="s">
        <v>76</v>
      </c>
      <c r="AR48" s="55" t="s">
        <v>77</v>
      </c>
      <c r="AT48" s="121" t="s">
        <v>0</v>
      </c>
      <c r="AU48" s="122"/>
      <c r="AV48" s="122"/>
      <c r="AW48" s="122"/>
      <c r="AY48" s="55" t="s">
        <v>78</v>
      </c>
      <c r="AZ48" s="55" t="s">
        <v>1</v>
      </c>
      <c r="BA48" s="55" t="s">
        <v>76</v>
      </c>
      <c r="BB48" s="55" t="s">
        <v>77</v>
      </c>
    </row>
    <row r="49" spans="1:54">
      <c r="A49" s="37" t="s">
        <v>79</v>
      </c>
      <c r="B49" s="34">
        <v>1</v>
      </c>
      <c r="C49" s="35" t="s">
        <v>90</v>
      </c>
      <c r="D49" s="36"/>
      <c r="K49" s="56" t="s">
        <v>95</v>
      </c>
      <c r="L49" s="57">
        <v>1</v>
      </c>
      <c r="M49" s="58">
        <v>6000</v>
      </c>
      <c r="N49" s="59">
        <v>6000</v>
      </c>
      <c r="Z49" s="56" t="s">
        <v>86</v>
      </c>
      <c r="AA49" s="57">
        <v>1</v>
      </c>
      <c r="AB49" s="58">
        <v>28000</v>
      </c>
      <c r="AC49" s="59">
        <v>28000</v>
      </c>
      <c r="AE49" t="s">
        <v>2</v>
      </c>
      <c r="AH49" s="25">
        <v>99000</v>
      </c>
      <c r="AL49" s="25"/>
      <c r="AM49" s="25"/>
      <c r="AO49" s="56" t="s">
        <v>86</v>
      </c>
      <c r="AP49" s="57">
        <v>1</v>
      </c>
      <c r="AQ49" s="58">
        <v>28000</v>
      </c>
      <c r="AR49" s="59">
        <v>28000</v>
      </c>
      <c r="AT49" s="55" t="s">
        <v>78</v>
      </c>
      <c r="AU49" s="55" t="s">
        <v>1</v>
      </c>
      <c r="AV49" s="55" t="s">
        <v>76</v>
      </c>
      <c r="AW49" s="55" t="s">
        <v>77</v>
      </c>
      <c r="AY49" s="56" t="s">
        <v>58</v>
      </c>
      <c r="AZ49" s="57">
        <v>2</v>
      </c>
      <c r="BA49" s="58">
        <v>30000</v>
      </c>
      <c r="BB49" s="59">
        <v>60000</v>
      </c>
    </row>
    <row r="50" spans="1:54">
      <c r="A50" s="37"/>
      <c r="B50" s="34"/>
      <c r="C50" s="35"/>
      <c r="D50" s="36"/>
      <c r="F50" s="33" t="s">
        <v>78</v>
      </c>
      <c r="G50" s="33" t="s">
        <v>1</v>
      </c>
      <c r="H50" s="33" t="s">
        <v>76</v>
      </c>
      <c r="I50" s="33" t="s">
        <v>77</v>
      </c>
      <c r="K50" s="56"/>
      <c r="L50" s="57"/>
      <c r="M50" s="58"/>
      <c r="N50" s="59"/>
      <c r="P50" s="55" t="s">
        <v>78</v>
      </c>
      <c r="Q50" s="55" t="s">
        <v>1</v>
      </c>
      <c r="R50" s="55" t="s">
        <v>76</v>
      </c>
      <c r="S50" s="55" t="s">
        <v>77</v>
      </c>
      <c r="Z50" s="56"/>
      <c r="AA50" s="57"/>
      <c r="AB50" s="58"/>
      <c r="AC50" s="59"/>
      <c r="AJ50" t="s">
        <v>2</v>
      </c>
      <c r="AM50" s="25">
        <v>30000</v>
      </c>
      <c r="AO50" s="56" t="s">
        <v>57</v>
      </c>
      <c r="AP50" s="57">
        <v>1</v>
      </c>
      <c r="AQ50" s="58">
        <v>36000</v>
      </c>
      <c r="AR50" s="59">
        <v>36000</v>
      </c>
      <c r="AT50" s="56" t="s">
        <v>56</v>
      </c>
      <c r="AU50" s="57">
        <v>1</v>
      </c>
      <c r="AV50" s="58">
        <v>36000</v>
      </c>
      <c r="AW50" s="59">
        <v>36000</v>
      </c>
      <c r="AY50" s="56" t="s">
        <v>55</v>
      </c>
      <c r="AZ50" s="57">
        <v>1</v>
      </c>
      <c r="BA50" s="58">
        <v>35000</v>
      </c>
      <c r="BB50" s="59">
        <v>35000</v>
      </c>
    </row>
    <row r="51" spans="1:54">
      <c r="A51" s="128" t="s">
        <v>2</v>
      </c>
      <c r="B51" s="129"/>
      <c r="C51" s="129"/>
      <c r="D51" s="38"/>
      <c r="F51" s="37" t="s">
        <v>57</v>
      </c>
      <c r="G51" s="34">
        <v>1</v>
      </c>
      <c r="H51" s="35">
        <v>36000</v>
      </c>
      <c r="I51" s="36">
        <v>36000</v>
      </c>
      <c r="K51" s="123" t="s">
        <v>2</v>
      </c>
      <c r="L51" s="124"/>
      <c r="M51" s="124"/>
      <c r="N51" s="60"/>
      <c r="P51" s="56" t="s">
        <v>82</v>
      </c>
      <c r="Q51" s="57">
        <v>1</v>
      </c>
      <c r="R51" s="58">
        <v>28000</v>
      </c>
      <c r="S51" s="59">
        <v>28000</v>
      </c>
      <c r="Z51" s="123" t="s">
        <v>2</v>
      </c>
      <c r="AA51" s="124"/>
      <c r="AB51" s="124"/>
      <c r="AC51" s="60">
        <v>28000</v>
      </c>
      <c r="AE51" s="72">
        <v>45786.485474768517</v>
      </c>
      <c r="AO51" s="56"/>
      <c r="AP51" s="57"/>
      <c r="AQ51" s="58"/>
      <c r="AR51" s="59"/>
      <c r="AT51" s="56"/>
      <c r="AU51" s="57"/>
      <c r="AV51" s="58"/>
      <c r="AW51" s="59"/>
      <c r="AY51" s="56"/>
      <c r="AZ51" s="57"/>
      <c r="BA51" s="58"/>
      <c r="BB51" s="59"/>
    </row>
    <row r="52" spans="1:54">
      <c r="F52" s="37"/>
      <c r="G52" s="34"/>
      <c r="H52" s="35"/>
      <c r="I52" s="36"/>
      <c r="P52" s="56" t="s">
        <v>86</v>
      </c>
      <c r="Q52" s="57">
        <v>1</v>
      </c>
      <c r="R52" s="58">
        <v>28000</v>
      </c>
      <c r="S52" s="59">
        <v>28000</v>
      </c>
      <c r="AE52" t="s">
        <v>0</v>
      </c>
      <c r="AJ52" s="72">
        <v>45787.433537384262</v>
      </c>
      <c r="AO52" s="123" t="s">
        <v>2</v>
      </c>
      <c r="AP52" s="124"/>
      <c r="AQ52" s="124"/>
      <c r="AR52" s="60">
        <v>64000</v>
      </c>
      <c r="AT52" s="123" t="s">
        <v>2</v>
      </c>
      <c r="AU52" s="124"/>
      <c r="AV52" s="124"/>
      <c r="AW52" s="60">
        <v>36000</v>
      </c>
      <c r="AY52" s="123" t="s">
        <v>2</v>
      </c>
      <c r="AZ52" s="124"/>
      <c r="BA52" s="124"/>
      <c r="BB52" s="60">
        <v>95000</v>
      </c>
    </row>
    <row r="53" spans="1:54">
      <c r="A53" s="33" t="s">
        <v>78</v>
      </c>
      <c r="B53" s="33" t="s">
        <v>1</v>
      </c>
      <c r="C53" s="33" t="s">
        <v>76</v>
      </c>
      <c r="D53" s="33" t="s">
        <v>77</v>
      </c>
      <c r="F53" s="128" t="s">
        <v>2</v>
      </c>
      <c r="G53" s="129"/>
      <c r="H53" s="129"/>
      <c r="I53" s="38"/>
      <c r="K53" s="55" t="s">
        <v>78</v>
      </c>
      <c r="L53" s="55" t="s">
        <v>1</v>
      </c>
      <c r="M53" s="55" t="s">
        <v>76</v>
      </c>
      <c r="N53" s="55" t="s">
        <v>77</v>
      </c>
      <c r="P53" s="56" t="s">
        <v>88</v>
      </c>
      <c r="Q53" s="57">
        <v>1</v>
      </c>
      <c r="R53" s="58">
        <v>7000</v>
      </c>
      <c r="S53" s="59">
        <v>7000</v>
      </c>
      <c r="Z53" s="67"/>
      <c r="AA53" s="54"/>
      <c r="AB53" s="54"/>
      <c r="AC53" s="54"/>
      <c r="AE53" t="s">
        <v>78</v>
      </c>
      <c r="AF53" t="s">
        <v>1</v>
      </c>
      <c r="AG53" t="s">
        <v>76</v>
      </c>
      <c r="AH53" t="s">
        <v>77</v>
      </c>
      <c r="AJ53" t="s">
        <v>0</v>
      </c>
    </row>
    <row r="54" spans="1:54">
      <c r="A54" s="37" t="s">
        <v>91</v>
      </c>
      <c r="B54" s="34">
        <v>1</v>
      </c>
      <c r="C54" s="35">
        <v>15000</v>
      </c>
      <c r="D54" s="36">
        <v>15000</v>
      </c>
      <c r="K54" s="56" t="s">
        <v>82</v>
      </c>
      <c r="L54" s="57">
        <v>1</v>
      </c>
      <c r="M54" s="58">
        <v>28000</v>
      </c>
      <c r="N54" s="59">
        <v>28000</v>
      </c>
      <c r="P54" s="56"/>
      <c r="Q54" s="57"/>
      <c r="R54" s="58"/>
      <c r="S54" s="59"/>
      <c r="Z54" s="121" t="s">
        <v>0</v>
      </c>
      <c r="AA54" s="122"/>
      <c r="AB54" s="122"/>
      <c r="AC54" s="122"/>
      <c r="AE54" t="s">
        <v>84</v>
      </c>
      <c r="AF54">
        <v>1</v>
      </c>
      <c r="AG54" s="25">
        <v>23000</v>
      </c>
      <c r="AH54" s="25">
        <v>23000</v>
      </c>
      <c r="AJ54" t="s">
        <v>78</v>
      </c>
      <c r="AK54" t="s">
        <v>1</v>
      </c>
      <c r="AL54" t="s">
        <v>76</v>
      </c>
      <c r="AM54" t="s">
        <v>77</v>
      </c>
      <c r="AO54" s="67">
        <v>45787.88949872685</v>
      </c>
      <c r="AP54" s="54"/>
      <c r="AQ54" s="54"/>
      <c r="AR54" s="54"/>
      <c r="AT54" s="67">
        <v>45788.841327083333</v>
      </c>
      <c r="AU54" s="54"/>
      <c r="AV54" s="54"/>
      <c r="AW54" s="54"/>
      <c r="AY54" s="67">
        <v>45789.89597326389</v>
      </c>
      <c r="AZ54" s="54"/>
      <c r="BA54" s="54"/>
      <c r="BB54" s="54"/>
    </row>
    <row r="55" spans="1:54">
      <c r="A55" s="37"/>
      <c r="B55" s="34"/>
      <c r="C55" s="35"/>
      <c r="D55" s="36"/>
      <c r="F55" s="33" t="s">
        <v>78</v>
      </c>
      <c r="G55" s="33" t="s">
        <v>1</v>
      </c>
      <c r="H55" s="33" t="s">
        <v>76</v>
      </c>
      <c r="I55" s="33" t="s">
        <v>77</v>
      </c>
      <c r="K55" s="56" t="s">
        <v>82</v>
      </c>
      <c r="L55" s="57">
        <v>1</v>
      </c>
      <c r="M55" s="58">
        <v>28000</v>
      </c>
      <c r="N55" s="59">
        <v>28000</v>
      </c>
      <c r="P55" s="123" t="s">
        <v>2</v>
      </c>
      <c r="Q55" s="124"/>
      <c r="R55" s="124"/>
      <c r="S55" s="60"/>
      <c r="Z55" s="55" t="s">
        <v>78</v>
      </c>
      <c r="AA55" s="55" t="s">
        <v>1</v>
      </c>
      <c r="AB55" s="55" t="s">
        <v>76</v>
      </c>
      <c r="AC55" s="55" t="s">
        <v>77</v>
      </c>
      <c r="AE55" t="s">
        <v>89</v>
      </c>
      <c r="AF55">
        <v>1</v>
      </c>
      <c r="AG55" s="25">
        <v>6000</v>
      </c>
      <c r="AH55" s="25">
        <v>6000</v>
      </c>
      <c r="AJ55" t="s">
        <v>82</v>
      </c>
      <c r="AK55">
        <v>1</v>
      </c>
      <c r="AL55" s="25">
        <v>28000</v>
      </c>
      <c r="AM55" s="25">
        <v>28000</v>
      </c>
      <c r="AO55" s="121" t="s">
        <v>0</v>
      </c>
      <c r="AP55" s="122"/>
      <c r="AQ55" s="122"/>
      <c r="AR55" s="122"/>
      <c r="AT55" s="121" t="s">
        <v>0</v>
      </c>
      <c r="AU55" s="122"/>
      <c r="AV55" s="122"/>
      <c r="AW55" s="122"/>
      <c r="AY55" s="121" t="s">
        <v>0</v>
      </c>
      <c r="AZ55" s="122"/>
      <c r="BA55" s="122"/>
      <c r="BB55" s="122"/>
    </row>
    <row r="56" spans="1:54">
      <c r="A56" s="33" t="s">
        <v>78</v>
      </c>
      <c r="B56" s="33" t="s">
        <v>1</v>
      </c>
      <c r="C56" s="33" t="s">
        <v>76</v>
      </c>
      <c r="D56" s="33" t="s">
        <v>77</v>
      </c>
      <c r="F56" s="37" t="s">
        <v>79</v>
      </c>
      <c r="G56" s="34">
        <v>2</v>
      </c>
      <c r="H56" s="35">
        <v>23000</v>
      </c>
      <c r="I56" s="36">
        <v>46000</v>
      </c>
      <c r="K56" s="56" t="s">
        <v>83</v>
      </c>
      <c r="L56" s="57">
        <v>1</v>
      </c>
      <c r="M56" s="58">
        <v>6000</v>
      </c>
      <c r="N56" s="59">
        <v>6000</v>
      </c>
      <c r="Z56" s="56" t="s">
        <v>75</v>
      </c>
      <c r="AA56" s="57">
        <v>1</v>
      </c>
      <c r="AB56" s="58">
        <v>32000</v>
      </c>
      <c r="AC56" s="59">
        <v>32000</v>
      </c>
      <c r="AE56" t="s">
        <v>56</v>
      </c>
      <c r="AF56">
        <v>1</v>
      </c>
      <c r="AG56" s="25">
        <v>36000</v>
      </c>
      <c r="AH56" s="25">
        <v>36000</v>
      </c>
      <c r="AJ56" t="s">
        <v>88</v>
      </c>
      <c r="AK56">
        <v>1</v>
      </c>
      <c r="AL56" s="25">
        <v>7000</v>
      </c>
      <c r="AM56" s="25">
        <v>7000</v>
      </c>
      <c r="AO56" s="55" t="s">
        <v>78</v>
      </c>
      <c r="AP56" s="55" t="s">
        <v>1</v>
      </c>
      <c r="AQ56" s="55" t="s">
        <v>76</v>
      </c>
      <c r="AR56" s="55" t="s">
        <v>77</v>
      </c>
      <c r="AT56" s="55" t="s">
        <v>78</v>
      </c>
      <c r="AU56" s="55" t="s">
        <v>1</v>
      </c>
      <c r="AV56" s="55" t="s">
        <v>76</v>
      </c>
      <c r="AW56" s="55" t="s">
        <v>77</v>
      </c>
      <c r="AY56" s="55" t="s">
        <v>78</v>
      </c>
      <c r="AZ56" s="55" t="s">
        <v>1</v>
      </c>
      <c r="BA56" s="55" t="s">
        <v>76</v>
      </c>
      <c r="BB56" s="55" t="s">
        <v>77</v>
      </c>
    </row>
    <row r="57" spans="1:54">
      <c r="A57" s="37" t="s">
        <v>91</v>
      </c>
      <c r="B57" s="34">
        <v>3</v>
      </c>
      <c r="C57" s="35">
        <v>15000</v>
      </c>
      <c r="D57" s="36">
        <v>45000</v>
      </c>
      <c r="F57" s="37" t="s">
        <v>83</v>
      </c>
      <c r="G57" s="34">
        <v>2</v>
      </c>
      <c r="H57" s="35">
        <v>6000</v>
      </c>
      <c r="I57" s="36">
        <v>12000</v>
      </c>
      <c r="K57" s="56" t="s">
        <v>83</v>
      </c>
      <c r="L57" s="57">
        <v>1</v>
      </c>
      <c r="M57" s="58">
        <v>6000</v>
      </c>
      <c r="N57" s="59">
        <v>6000</v>
      </c>
      <c r="P57" s="55" t="s">
        <v>78</v>
      </c>
      <c r="Q57" s="55" t="s">
        <v>1</v>
      </c>
      <c r="R57" s="55" t="s">
        <v>76</v>
      </c>
      <c r="S57" s="55" t="s">
        <v>77</v>
      </c>
      <c r="Z57" s="56" t="s">
        <v>61</v>
      </c>
      <c r="AA57" s="57">
        <v>1</v>
      </c>
      <c r="AB57" s="58">
        <v>28000</v>
      </c>
      <c r="AC57" s="59">
        <v>28000</v>
      </c>
      <c r="AG57" s="25"/>
      <c r="AH57" s="25"/>
      <c r="AJ57" t="s">
        <v>93</v>
      </c>
      <c r="AK57">
        <v>1</v>
      </c>
      <c r="AL57" s="25">
        <v>6000</v>
      </c>
      <c r="AM57" s="25">
        <v>6000</v>
      </c>
      <c r="AO57" s="56" t="s">
        <v>61</v>
      </c>
      <c r="AP57" s="57">
        <v>1</v>
      </c>
      <c r="AQ57" s="58">
        <v>28000</v>
      </c>
      <c r="AR57" s="59">
        <v>28000</v>
      </c>
      <c r="AT57" s="56" t="s">
        <v>55</v>
      </c>
      <c r="AU57" s="57">
        <v>2</v>
      </c>
      <c r="AV57" s="58">
        <v>35000</v>
      </c>
      <c r="AW57" s="59">
        <v>70000</v>
      </c>
      <c r="AY57" s="56" t="s">
        <v>60</v>
      </c>
      <c r="AZ57" s="57">
        <v>1</v>
      </c>
      <c r="BA57" s="58">
        <v>32000</v>
      </c>
      <c r="BB57" s="59">
        <v>32000</v>
      </c>
    </row>
    <row r="58" spans="1:54">
      <c r="A58" s="37" t="s">
        <v>79</v>
      </c>
      <c r="B58" s="34">
        <v>3</v>
      </c>
      <c r="C58" s="35">
        <v>23000</v>
      </c>
      <c r="D58" s="36">
        <v>69000</v>
      </c>
      <c r="F58" s="37" t="s">
        <v>88</v>
      </c>
      <c r="G58" s="34">
        <v>2</v>
      </c>
      <c r="H58" s="35">
        <v>7000</v>
      </c>
      <c r="I58" s="36">
        <v>14000</v>
      </c>
      <c r="K58" s="56" t="s">
        <v>88</v>
      </c>
      <c r="L58" s="57">
        <v>10</v>
      </c>
      <c r="M58" s="58">
        <v>7000</v>
      </c>
      <c r="N58" s="59">
        <v>70000</v>
      </c>
      <c r="P58" s="56" t="s">
        <v>86</v>
      </c>
      <c r="Q58" s="57">
        <v>1</v>
      </c>
      <c r="R58" s="58">
        <v>28000</v>
      </c>
      <c r="S58" s="59">
        <v>28000</v>
      </c>
      <c r="Z58" s="56"/>
      <c r="AA58" s="57"/>
      <c r="AB58" s="58"/>
      <c r="AC58" s="59"/>
      <c r="AE58" t="s">
        <v>2</v>
      </c>
      <c r="AH58" s="25">
        <v>65000</v>
      </c>
      <c r="AJ58" t="s">
        <v>87</v>
      </c>
      <c r="AK58">
        <v>1</v>
      </c>
      <c r="AL58" s="25">
        <v>7000</v>
      </c>
      <c r="AM58" s="25">
        <v>7000</v>
      </c>
      <c r="AO58" s="56"/>
      <c r="AP58" s="57"/>
      <c r="AQ58" s="58"/>
      <c r="AR58" s="59"/>
      <c r="AT58" s="56" t="s">
        <v>58</v>
      </c>
      <c r="AU58" s="57">
        <v>1</v>
      </c>
      <c r="AV58" s="58">
        <v>30000</v>
      </c>
      <c r="AW58" s="59">
        <v>30000</v>
      </c>
      <c r="AY58" s="56"/>
      <c r="AZ58" s="57"/>
      <c r="BA58" s="58"/>
      <c r="BB58" s="59"/>
    </row>
    <row r="59" spans="1:54">
      <c r="A59" s="37" t="s">
        <v>83</v>
      </c>
      <c r="B59" s="34">
        <v>3</v>
      </c>
      <c r="C59" s="35">
        <v>6000</v>
      </c>
      <c r="D59" s="36">
        <v>18000</v>
      </c>
      <c r="F59" s="37"/>
      <c r="G59" s="34"/>
      <c r="H59" s="35"/>
      <c r="I59" s="36"/>
      <c r="K59" s="56"/>
      <c r="L59" s="57"/>
      <c r="M59" s="58"/>
      <c r="N59" s="59"/>
      <c r="P59" s="56" t="s">
        <v>58</v>
      </c>
      <c r="Q59" s="57">
        <v>1</v>
      </c>
      <c r="R59" s="58">
        <v>30000</v>
      </c>
      <c r="S59" s="59">
        <v>30000</v>
      </c>
      <c r="Z59" s="123" t="s">
        <v>2</v>
      </c>
      <c r="AA59" s="124"/>
      <c r="AB59" s="124"/>
      <c r="AC59" s="60">
        <v>60000</v>
      </c>
      <c r="AL59" s="25"/>
      <c r="AM59" s="25"/>
      <c r="AO59" s="123" t="s">
        <v>2</v>
      </c>
      <c r="AP59" s="124"/>
      <c r="AQ59" s="124"/>
      <c r="AR59" s="60">
        <v>28000</v>
      </c>
      <c r="AT59" s="56" t="s">
        <v>57</v>
      </c>
      <c r="AU59" s="57">
        <v>1</v>
      </c>
      <c r="AV59" s="58">
        <v>36000</v>
      </c>
      <c r="AW59" s="59">
        <v>36000</v>
      </c>
      <c r="AY59" s="123" t="s">
        <v>2</v>
      </c>
      <c r="AZ59" s="124"/>
      <c r="BA59" s="124"/>
      <c r="BB59" s="60">
        <v>32000</v>
      </c>
    </row>
    <row r="60" spans="1:54">
      <c r="A60" s="37"/>
      <c r="B60" s="34"/>
      <c r="C60" s="35"/>
      <c r="D60" s="36"/>
      <c r="F60" s="128" t="s">
        <v>2</v>
      </c>
      <c r="G60" s="129"/>
      <c r="H60" s="129"/>
      <c r="I60" s="38"/>
      <c r="K60" s="123" t="s">
        <v>2</v>
      </c>
      <c r="L60" s="124"/>
      <c r="M60" s="124"/>
      <c r="N60" s="60"/>
      <c r="P60" s="56" t="s">
        <v>95</v>
      </c>
      <c r="Q60" s="57">
        <v>1</v>
      </c>
      <c r="R60" s="58">
        <v>6000</v>
      </c>
      <c r="S60" s="59">
        <v>6000</v>
      </c>
      <c r="AJ60" t="s">
        <v>2</v>
      </c>
      <c r="AM60" s="25">
        <v>48000</v>
      </c>
      <c r="AT60" s="56" t="s">
        <v>79</v>
      </c>
      <c r="AU60" s="57">
        <v>1</v>
      </c>
      <c r="AV60" s="58">
        <v>23000</v>
      </c>
      <c r="AW60" s="59">
        <v>23000</v>
      </c>
    </row>
    <row r="61" spans="1:54">
      <c r="A61" s="33" t="s">
        <v>78</v>
      </c>
      <c r="B61" s="33" t="s">
        <v>1</v>
      </c>
      <c r="C61" s="33" t="s">
        <v>76</v>
      </c>
      <c r="D61" s="33" t="s">
        <v>77</v>
      </c>
      <c r="P61" s="56"/>
      <c r="Q61" s="57"/>
      <c r="R61" s="58"/>
      <c r="S61" s="59"/>
      <c r="Z61" s="67"/>
      <c r="AA61" s="54"/>
      <c r="AB61" s="54"/>
      <c r="AC61" s="54"/>
      <c r="AO61" s="67">
        <v>45787.889880439812</v>
      </c>
      <c r="AP61" s="54"/>
      <c r="AQ61" s="54"/>
      <c r="AR61" s="54"/>
      <c r="AT61" s="56"/>
      <c r="AU61" s="57"/>
      <c r="AV61" s="58"/>
      <c r="AW61" s="59"/>
      <c r="AY61" s="67">
        <v>45789.899958333335</v>
      </c>
      <c r="AZ61" s="54"/>
      <c r="BA61" s="54"/>
      <c r="BB61" s="54"/>
    </row>
    <row r="62" spans="1:54">
      <c r="A62" s="37" t="s">
        <v>92</v>
      </c>
      <c r="B62" s="34">
        <v>1</v>
      </c>
      <c r="C62" s="35">
        <v>32000</v>
      </c>
      <c r="D62" s="36">
        <v>32000</v>
      </c>
      <c r="F62" s="33" t="s">
        <v>78</v>
      </c>
      <c r="G62" s="33" t="s">
        <v>1</v>
      </c>
      <c r="H62" s="33" t="s">
        <v>76</v>
      </c>
      <c r="I62" s="33" t="s">
        <v>77</v>
      </c>
      <c r="K62" s="55" t="s">
        <v>78</v>
      </c>
      <c r="L62" s="55" t="s">
        <v>1</v>
      </c>
      <c r="M62" s="55" t="s">
        <v>76</v>
      </c>
      <c r="N62" s="55" t="s">
        <v>77</v>
      </c>
      <c r="P62" s="123" t="s">
        <v>2</v>
      </c>
      <c r="Q62" s="124"/>
      <c r="R62" s="124"/>
      <c r="S62" s="60"/>
      <c r="Z62" s="121" t="s">
        <v>0</v>
      </c>
      <c r="AA62" s="122"/>
      <c r="AB62" s="122"/>
      <c r="AC62" s="122"/>
      <c r="AJ62" s="72">
        <v>45787.433537384262</v>
      </c>
      <c r="AO62" s="121" t="s">
        <v>0</v>
      </c>
      <c r="AP62" s="122"/>
      <c r="AQ62" s="122"/>
      <c r="AR62" s="122"/>
      <c r="AT62" s="123" t="s">
        <v>2</v>
      </c>
      <c r="AU62" s="124"/>
      <c r="AV62" s="124"/>
      <c r="AW62" s="60">
        <v>159000</v>
      </c>
      <c r="AY62" s="121" t="s">
        <v>0</v>
      </c>
      <c r="AZ62" s="122"/>
      <c r="BA62" s="122"/>
      <c r="BB62" s="122"/>
    </row>
    <row r="63" spans="1:54">
      <c r="A63" s="37" t="s">
        <v>83</v>
      </c>
      <c r="B63" s="34">
        <v>1</v>
      </c>
      <c r="C63" s="35">
        <v>6000</v>
      </c>
      <c r="D63" s="36">
        <v>6000</v>
      </c>
      <c r="F63" s="37" t="s">
        <v>81</v>
      </c>
      <c r="G63" s="34">
        <v>1</v>
      </c>
      <c r="H63" s="35">
        <v>29000</v>
      </c>
      <c r="I63" s="36">
        <v>29000</v>
      </c>
      <c r="K63" s="56" t="s">
        <v>84</v>
      </c>
      <c r="L63" s="57">
        <v>1</v>
      </c>
      <c r="M63" s="58">
        <v>23000</v>
      </c>
      <c r="N63" s="59">
        <v>23000</v>
      </c>
      <c r="Z63" s="55" t="s">
        <v>78</v>
      </c>
      <c r="AA63" s="55" t="s">
        <v>1</v>
      </c>
      <c r="AB63" s="55" t="s">
        <v>76</v>
      </c>
      <c r="AC63" s="55" t="s">
        <v>77</v>
      </c>
      <c r="AJ63" t="s">
        <v>0</v>
      </c>
      <c r="AO63" s="55" t="s">
        <v>78</v>
      </c>
      <c r="AP63" s="55" t="s">
        <v>1</v>
      </c>
      <c r="AQ63" s="55" t="s">
        <v>76</v>
      </c>
      <c r="AR63" s="55" t="s">
        <v>77</v>
      </c>
      <c r="AY63" s="55" t="s">
        <v>78</v>
      </c>
      <c r="AZ63" s="55" t="s">
        <v>1</v>
      </c>
      <c r="BA63" s="55" t="s">
        <v>76</v>
      </c>
      <c r="BB63" s="55" t="s">
        <v>77</v>
      </c>
    </row>
    <row r="64" spans="1:54">
      <c r="A64" s="37" t="s">
        <v>82</v>
      </c>
      <c r="B64" s="34">
        <v>1</v>
      </c>
      <c r="C64" s="35">
        <v>28000</v>
      </c>
      <c r="D64" s="36">
        <v>28000</v>
      </c>
      <c r="F64" s="37" t="s">
        <v>89</v>
      </c>
      <c r="G64" s="34">
        <v>1</v>
      </c>
      <c r="H64" s="35">
        <v>6000</v>
      </c>
      <c r="I64" s="36">
        <v>6000</v>
      </c>
      <c r="K64" s="56" t="s">
        <v>84</v>
      </c>
      <c r="L64" s="57">
        <v>1</v>
      </c>
      <c r="M64" s="58">
        <v>23000</v>
      </c>
      <c r="N64" s="59">
        <v>23000</v>
      </c>
      <c r="P64" s="55" t="s">
        <v>78</v>
      </c>
      <c r="Q64" s="55" t="s">
        <v>1</v>
      </c>
      <c r="R64" s="55" t="s">
        <v>76</v>
      </c>
      <c r="S64" s="55" t="s">
        <v>77</v>
      </c>
      <c r="Z64" s="56" t="s">
        <v>61</v>
      </c>
      <c r="AA64" s="57">
        <v>1</v>
      </c>
      <c r="AB64" s="58">
        <v>28000</v>
      </c>
      <c r="AC64" s="59">
        <v>28000</v>
      </c>
      <c r="AJ64" t="s">
        <v>78</v>
      </c>
      <c r="AK64" t="s">
        <v>1</v>
      </c>
      <c r="AL64" t="s">
        <v>76</v>
      </c>
      <c r="AM64" t="s">
        <v>77</v>
      </c>
      <c r="AO64" s="56" t="s">
        <v>84</v>
      </c>
      <c r="AP64" s="57">
        <v>1</v>
      </c>
      <c r="AQ64" s="58">
        <v>23000</v>
      </c>
      <c r="AR64" s="59">
        <v>23000</v>
      </c>
      <c r="AT64" s="67">
        <v>45788.841519444446</v>
      </c>
      <c r="AU64" s="54"/>
      <c r="AV64" s="54"/>
      <c r="AW64" s="54"/>
      <c r="AY64" s="56" t="s">
        <v>79</v>
      </c>
      <c r="AZ64" s="57">
        <v>1</v>
      </c>
      <c r="BA64" s="58">
        <v>23000</v>
      </c>
      <c r="BB64" s="59">
        <v>23000</v>
      </c>
    </row>
    <row r="65" spans="1:54">
      <c r="A65" s="37" t="s">
        <v>83</v>
      </c>
      <c r="B65" s="34">
        <v>1</v>
      </c>
      <c r="C65" s="35">
        <v>6000</v>
      </c>
      <c r="D65" s="36">
        <v>6000</v>
      </c>
      <c r="F65" s="37"/>
      <c r="G65" s="34"/>
      <c r="H65" s="35"/>
      <c r="I65" s="36"/>
      <c r="K65" s="56" t="s">
        <v>84</v>
      </c>
      <c r="L65" s="57">
        <v>1</v>
      </c>
      <c r="M65" s="58">
        <v>23000</v>
      </c>
      <c r="N65" s="59">
        <v>23000</v>
      </c>
      <c r="P65" s="56" t="s">
        <v>56</v>
      </c>
      <c r="Q65" s="57">
        <v>1</v>
      </c>
      <c r="R65" s="58">
        <v>36000</v>
      </c>
      <c r="S65" s="59">
        <v>36000</v>
      </c>
      <c r="Z65" s="56" t="s">
        <v>75</v>
      </c>
      <c r="AA65" s="57">
        <v>1</v>
      </c>
      <c r="AB65" s="58">
        <v>32000</v>
      </c>
      <c r="AC65" s="59">
        <v>32000</v>
      </c>
      <c r="AJ65" t="s">
        <v>56</v>
      </c>
      <c r="AK65">
        <v>4</v>
      </c>
      <c r="AL65" s="25">
        <v>36000</v>
      </c>
      <c r="AM65" s="25">
        <v>144000</v>
      </c>
      <c r="AO65" s="56" t="s">
        <v>89</v>
      </c>
      <c r="AP65" s="57">
        <v>1</v>
      </c>
      <c r="AQ65" s="58">
        <v>6000</v>
      </c>
      <c r="AR65" s="59">
        <v>6000</v>
      </c>
      <c r="AT65" s="121" t="s">
        <v>0</v>
      </c>
      <c r="AU65" s="122"/>
      <c r="AV65" s="122"/>
      <c r="AW65" s="122"/>
      <c r="AY65" s="56" t="s">
        <v>83</v>
      </c>
      <c r="AZ65" s="57">
        <v>1</v>
      </c>
      <c r="BA65" s="58">
        <v>6000</v>
      </c>
      <c r="BB65" s="59">
        <v>6000</v>
      </c>
    </row>
    <row r="66" spans="1:54">
      <c r="A66" s="37" t="s">
        <v>88</v>
      </c>
      <c r="B66" s="34">
        <v>1</v>
      </c>
      <c r="C66" s="35">
        <v>7000</v>
      </c>
      <c r="D66" s="36">
        <v>7000</v>
      </c>
      <c r="F66" s="128" t="s">
        <v>2</v>
      </c>
      <c r="G66" s="129"/>
      <c r="H66" s="129"/>
      <c r="I66" s="38"/>
      <c r="K66" s="56" t="s">
        <v>84</v>
      </c>
      <c r="L66" s="57">
        <v>1</v>
      </c>
      <c r="M66" s="58">
        <v>23000</v>
      </c>
      <c r="N66" s="59">
        <v>23000</v>
      </c>
      <c r="P66" s="56" t="s">
        <v>94</v>
      </c>
      <c r="Q66" s="57">
        <v>1</v>
      </c>
      <c r="R66" s="58">
        <v>6000</v>
      </c>
      <c r="S66" s="59">
        <v>6000</v>
      </c>
      <c r="Z66" s="56"/>
      <c r="AA66" s="57"/>
      <c r="AB66" s="58"/>
      <c r="AC66" s="59"/>
      <c r="AJ66" t="s">
        <v>62</v>
      </c>
      <c r="AK66">
        <v>2</v>
      </c>
      <c r="AL66" s="25">
        <v>25000</v>
      </c>
      <c r="AM66" s="25">
        <v>50000</v>
      </c>
      <c r="AO66" s="56"/>
      <c r="AP66" s="57"/>
      <c r="AQ66" s="58"/>
      <c r="AR66" s="59"/>
      <c r="AT66" s="55" t="s">
        <v>78</v>
      </c>
      <c r="AU66" s="55" t="s">
        <v>1</v>
      </c>
      <c r="AV66" s="55" t="s">
        <v>76</v>
      </c>
      <c r="AW66" s="55" t="s">
        <v>77</v>
      </c>
      <c r="AY66" s="56"/>
      <c r="AZ66" s="57"/>
      <c r="BA66" s="58"/>
      <c r="BB66" s="59"/>
    </row>
    <row r="67" spans="1:54">
      <c r="A67" s="37" t="s">
        <v>62</v>
      </c>
      <c r="B67" s="34">
        <v>1</v>
      </c>
      <c r="C67" s="35">
        <v>25000</v>
      </c>
      <c r="D67" s="36">
        <v>25000</v>
      </c>
      <c r="K67" s="56" t="s">
        <v>88</v>
      </c>
      <c r="L67" s="57">
        <v>1</v>
      </c>
      <c r="M67" s="58">
        <v>7000</v>
      </c>
      <c r="N67" s="59">
        <v>7000</v>
      </c>
      <c r="P67" s="56"/>
      <c r="Q67" s="57"/>
      <c r="R67" s="58"/>
      <c r="S67" s="59"/>
      <c r="Z67" s="123" t="s">
        <v>2</v>
      </c>
      <c r="AA67" s="124"/>
      <c r="AB67" s="124"/>
      <c r="AC67" s="60">
        <v>60000</v>
      </c>
      <c r="AJ67" t="s">
        <v>57</v>
      </c>
      <c r="AK67">
        <v>1</v>
      </c>
      <c r="AL67" s="25">
        <v>36000</v>
      </c>
      <c r="AM67" s="25">
        <v>36000</v>
      </c>
      <c r="AO67" s="123" t="s">
        <v>2</v>
      </c>
      <c r="AP67" s="124"/>
      <c r="AQ67" s="124"/>
      <c r="AR67" s="60">
        <v>29000</v>
      </c>
      <c r="AT67" s="56" t="s">
        <v>82</v>
      </c>
      <c r="AU67" s="57">
        <v>1</v>
      </c>
      <c r="AV67" s="58">
        <v>28000</v>
      </c>
      <c r="AW67" s="59">
        <v>28000</v>
      </c>
      <c r="AY67" s="123" t="s">
        <v>2</v>
      </c>
      <c r="AZ67" s="124"/>
      <c r="BA67" s="124"/>
      <c r="BB67" s="60">
        <v>29000</v>
      </c>
    </row>
    <row r="68" spans="1:54">
      <c r="A68" s="37" t="s">
        <v>82</v>
      </c>
      <c r="B68" s="34">
        <v>1</v>
      </c>
      <c r="C68" s="35">
        <v>28000</v>
      </c>
      <c r="D68" s="36">
        <v>28000</v>
      </c>
      <c r="F68" s="33" t="s">
        <v>78</v>
      </c>
      <c r="G68" s="33" t="s">
        <v>1</v>
      </c>
      <c r="H68" s="33" t="s">
        <v>76</v>
      </c>
      <c r="I68" s="33" t="s">
        <v>77</v>
      </c>
      <c r="K68" s="56" t="s">
        <v>60</v>
      </c>
      <c r="L68" s="57">
        <v>1</v>
      </c>
      <c r="M68" s="58">
        <v>32000</v>
      </c>
      <c r="N68" s="59">
        <v>32000</v>
      </c>
      <c r="P68" s="123" t="s">
        <v>2</v>
      </c>
      <c r="Q68" s="124"/>
      <c r="R68" s="124"/>
      <c r="S68" s="60"/>
      <c r="AJ68" t="s">
        <v>61</v>
      </c>
      <c r="AK68">
        <v>1</v>
      </c>
      <c r="AL68" s="25">
        <v>28000</v>
      </c>
      <c r="AM68" s="25">
        <v>28000</v>
      </c>
      <c r="AT68" s="56" t="s">
        <v>58</v>
      </c>
      <c r="AU68" s="57">
        <v>1</v>
      </c>
      <c r="AV68" s="58">
        <v>30000</v>
      </c>
      <c r="AW68" s="59">
        <v>30000</v>
      </c>
    </row>
    <row r="69" spans="1:54" ht="18">
      <c r="A69" s="37" t="s">
        <v>93</v>
      </c>
      <c r="B69" s="34">
        <v>1</v>
      </c>
      <c r="C69" s="35">
        <v>6000</v>
      </c>
      <c r="D69" s="36">
        <v>6000</v>
      </c>
      <c r="F69" s="37" t="s">
        <v>60</v>
      </c>
      <c r="G69" s="34">
        <v>1</v>
      </c>
      <c r="H69" s="35">
        <v>32000</v>
      </c>
      <c r="I69" s="36">
        <v>32000</v>
      </c>
      <c r="K69" s="56" t="s">
        <v>75</v>
      </c>
      <c r="L69" s="57">
        <v>1</v>
      </c>
      <c r="M69" s="58">
        <v>32000</v>
      </c>
      <c r="N69" s="59">
        <v>32000</v>
      </c>
      <c r="AL69" s="25"/>
      <c r="AM69" s="25"/>
      <c r="AO69" s="74">
        <f ca="1">TODAY()</f>
        <v>45803</v>
      </c>
      <c r="AQ69" s="24"/>
      <c r="AT69" s="56"/>
      <c r="AU69" s="57"/>
      <c r="AV69" s="58"/>
      <c r="AW69" s="59"/>
      <c r="AY69" s="74">
        <v>45789</v>
      </c>
      <c r="BA69" s="24"/>
    </row>
    <row r="70" spans="1:54">
      <c r="A70" s="37" t="s">
        <v>86</v>
      </c>
      <c r="B70" s="34">
        <v>1</v>
      </c>
      <c r="C70" s="35">
        <v>28000</v>
      </c>
      <c r="D70" s="36">
        <v>28000</v>
      </c>
      <c r="F70" s="37" t="s">
        <v>57</v>
      </c>
      <c r="G70" s="34">
        <v>1</v>
      </c>
      <c r="H70" s="35">
        <v>36000</v>
      </c>
      <c r="I70" s="36">
        <v>36000</v>
      </c>
      <c r="K70" s="56"/>
      <c r="L70" s="57"/>
      <c r="M70" s="58"/>
      <c r="N70" s="59"/>
      <c r="P70" s="55" t="s">
        <v>78</v>
      </c>
      <c r="Q70" s="55" t="s">
        <v>1</v>
      </c>
      <c r="R70" s="55" t="s">
        <v>76</v>
      </c>
      <c r="S70" s="55" t="s">
        <v>77</v>
      </c>
      <c r="AJ70" t="s">
        <v>2</v>
      </c>
      <c r="AM70" s="25">
        <v>258000</v>
      </c>
      <c r="AO70" s="75" t="s">
        <v>98</v>
      </c>
      <c r="AP70" s="75" t="s">
        <v>1</v>
      </c>
      <c r="AQ70" s="76" t="s">
        <v>99</v>
      </c>
      <c r="AT70" s="123" t="s">
        <v>2</v>
      </c>
      <c r="AU70" s="124"/>
      <c r="AV70" s="124"/>
      <c r="AW70" s="60">
        <v>58000</v>
      </c>
      <c r="AY70" s="75" t="s">
        <v>98</v>
      </c>
      <c r="AZ70" s="75" t="s">
        <v>1</v>
      </c>
      <c r="BA70" s="76" t="s">
        <v>99</v>
      </c>
    </row>
    <row r="71" spans="1:54">
      <c r="A71" s="37" t="s">
        <v>89</v>
      </c>
      <c r="B71" s="34">
        <v>1</v>
      </c>
      <c r="C71" s="35">
        <v>6000</v>
      </c>
      <c r="D71" s="36">
        <v>6000</v>
      </c>
      <c r="F71" s="37"/>
      <c r="G71" s="34"/>
      <c r="H71" s="35"/>
      <c r="I71" s="36"/>
      <c r="K71" s="123" t="s">
        <v>2</v>
      </c>
      <c r="L71" s="124"/>
      <c r="M71" s="124"/>
      <c r="N71" s="60">
        <v>163000</v>
      </c>
      <c r="P71" s="56" t="s">
        <v>79</v>
      </c>
      <c r="Q71" s="57">
        <v>1</v>
      </c>
      <c r="R71" s="58">
        <v>23000</v>
      </c>
      <c r="S71" s="59">
        <v>23000</v>
      </c>
      <c r="AO71" s="44" t="s">
        <v>79</v>
      </c>
      <c r="AP71">
        <v>1</v>
      </c>
      <c r="AQ71" s="24">
        <v>23000</v>
      </c>
      <c r="AY71" s="44" t="s">
        <v>79</v>
      </c>
      <c r="AZ71">
        <v>1</v>
      </c>
      <c r="BA71" s="24">
        <v>23000</v>
      </c>
    </row>
    <row r="72" spans="1:54">
      <c r="A72" s="37"/>
      <c r="B72" s="34"/>
      <c r="C72" s="35"/>
      <c r="D72" s="36"/>
      <c r="F72" s="128" t="s">
        <v>2</v>
      </c>
      <c r="G72" s="129"/>
      <c r="H72" s="129"/>
      <c r="I72" s="38"/>
      <c r="P72" s="56" t="s">
        <v>89</v>
      </c>
      <c r="Q72" s="57">
        <v>1</v>
      </c>
      <c r="R72" s="58">
        <v>6000</v>
      </c>
      <c r="S72" s="59">
        <v>6000</v>
      </c>
      <c r="AJ72" s="72">
        <v>45787.433537384262</v>
      </c>
      <c r="AO72" s="44" t="s">
        <v>82</v>
      </c>
      <c r="AP72">
        <v>0</v>
      </c>
      <c r="AQ72" s="24">
        <v>0</v>
      </c>
      <c r="AT72" s="67">
        <v>45788.843952546296</v>
      </c>
      <c r="AU72" s="54"/>
      <c r="AV72" s="54"/>
      <c r="AW72" s="54"/>
      <c r="AY72" s="44" t="s">
        <v>82</v>
      </c>
      <c r="AZ72">
        <v>0</v>
      </c>
      <c r="BA72" s="24">
        <v>0</v>
      </c>
    </row>
    <row r="73" spans="1:54">
      <c r="A73" s="128" t="s">
        <v>2</v>
      </c>
      <c r="B73" s="129"/>
      <c r="C73" s="129"/>
      <c r="D73" s="38"/>
      <c r="K73" s="55" t="s">
        <v>78</v>
      </c>
      <c r="L73" s="55" t="s">
        <v>1</v>
      </c>
      <c r="M73" s="55" t="s">
        <v>76</v>
      </c>
      <c r="N73" s="55" t="s">
        <v>77</v>
      </c>
      <c r="P73" s="56" t="s">
        <v>86</v>
      </c>
      <c r="Q73" s="57">
        <v>1</v>
      </c>
      <c r="R73" s="58">
        <v>28000</v>
      </c>
      <c r="S73" s="59">
        <v>28000</v>
      </c>
      <c r="AJ73" t="s">
        <v>0</v>
      </c>
      <c r="AO73" s="46" t="s">
        <v>84</v>
      </c>
      <c r="AP73">
        <v>1</v>
      </c>
      <c r="AQ73" s="24">
        <v>23000</v>
      </c>
      <c r="AT73" s="121" t="s">
        <v>0</v>
      </c>
      <c r="AU73" s="122"/>
      <c r="AV73" s="122"/>
      <c r="AW73" s="122"/>
      <c r="AY73" s="46" t="s">
        <v>84</v>
      </c>
      <c r="AZ73">
        <v>1</v>
      </c>
      <c r="BA73" s="24">
        <v>23000</v>
      </c>
    </row>
    <row r="74" spans="1:54">
      <c r="F74" s="33" t="s">
        <v>78</v>
      </c>
      <c r="G74" s="33" t="s">
        <v>1</v>
      </c>
      <c r="H74" s="33" t="s">
        <v>76</v>
      </c>
      <c r="I74" s="33" t="s">
        <v>77</v>
      </c>
      <c r="K74" s="56" t="s">
        <v>82</v>
      </c>
      <c r="L74" s="57">
        <v>2</v>
      </c>
      <c r="M74" s="58">
        <v>28000</v>
      </c>
      <c r="N74" s="59">
        <v>56000</v>
      </c>
      <c r="P74" s="56"/>
      <c r="Q74" s="57"/>
      <c r="R74" s="58"/>
      <c r="S74" s="59"/>
      <c r="AJ74" t="s">
        <v>78</v>
      </c>
      <c r="AK74" t="s">
        <v>1</v>
      </c>
      <c r="AL74" t="s">
        <v>76</v>
      </c>
      <c r="AM74" t="s">
        <v>77</v>
      </c>
      <c r="AO74" s="46" t="s">
        <v>86</v>
      </c>
      <c r="AP74">
        <v>3</v>
      </c>
      <c r="AQ74" s="24">
        <v>84000</v>
      </c>
      <c r="AT74" s="55" t="s">
        <v>78</v>
      </c>
      <c r="AU74" s="55" t="s">
        <v>1</v>
      </c>
      <c r="AV74" s="55" t="s">
        <v>76</v>
      </c>
      <c r="AW74" s="55" t="s">
        <v>77</v>
      </c>
      <c r="AY74" s="46" t="s">
        <v>86</v>
      </c>
      <c r="AZ74">
        <v>0</v>
      </c>
      <c r="BA74" s="24">
        <v>0</v>
      </c>
    </row>
    <row r="75" spans="1:54">
      <c r="A75" s="33" t="s">
        <v>78</v>
      </c>
      <c r="B75" s="33" t="s">
        <v>1</v>
      </c>
      <c r="C75" s="33" t="s">
        <v>76</v>
      </c>
      <c r="D75" s="33" t="s">
        <v>77</v>
      </c>
      <c r="F75" s="37" t="s">
        <v>75</v>
      </c>
      <c r="G75" s="34">
        <v>1</v>
      </c>
      <c r="H75" s="35">
        <v>32000</v>
      </c>
      <c r="I75" s="36">
        <v>32000</v>
      </c>
      <c r="K75" s="56"/>
      <c r="L75" s="57"/>
      <c r="M75" s="58"/>
      <c r="N75" s="59"/>
      <c r="P75" s="123" t="s">
        <v>2</v>
      </c>
      <c r="Q75" s="124"/>
      <c r="R75" s="124"/>
      <c r="S75" s="60">
        <v>57000</v>
      </c>
      <c r="AJ75" t="s">
        <v>86</v>
      </c>
      <c r="AK75">
        <v>1</v>
      </c>
      <c r="AL75" s="25">
        <v>28000</v>
      </c>
      <c r="AM75" s="25">
        <v>28000</v>
      </c>
      <c r="AO75" s="47" t="s">
        <v>80</v>
      </c>
      <c r="AP75">
        <v>0</v>
      </c>
      <c r="AQ75" s="24">
        <v>0</v>
      </c>
      <c r="AT75" s="56" t="s">
        <v>91</v>
      </c>
      <c r="AU75" s="57">
        <v>3</v>
      </c>
      <c r="AV75" s="58">
        <v>15000</v>
      </c>
      <c r="AW75" s="59">
        <v>45000</v>
      </c>
      <c r="AY75" s="47" t="s">
        <v>80</v>
      </c>
      <c r="AZ75">
        <v>0</v>
      </c>
      <c r="BA75" s="24">
        <v>0</v>
      </c>
    </row>
    <row r="76" spans="1:54">
      <c r="A76" s="37" t="s">
        <v>91</v>
      </c>
      <c r="B76" s="34">
        <v>2</v>
      </c>
      <c r="C76" s="35">
        <v>15000</v>
      </c>
      <c r="D76" s="36">
        <v>30000</v>
      </c>
      <c r="F76" s="37" t="s">
        <v>61</v>
      </c>
      <c r="G76" s="34">
        <v>1</v>
      </c>
      <c r="H76" s="35">
        <v>28000</v>
      </c>
      <c r="I76" s="36">
        <v>28000</v>
      </c>
      <c r="K76" s="123" t="s">
        <v>2</v>
      </c>
      <c r="L76" s="124"/>
      <c r="M76" s="124"/>
      <c r="N76" s="60">
        <v>56000</v>
      </c>
      <c r="AJ76" t="s">
        <v>89</v>
      </c>
      <c r="AK76">
        <v>1</v>
      </c>
      <c r="AL76" s="25">
        <v>6000</v>
      </c>
      <c r="AM76" s="25">
        <v>6000</v>
      </c>
      <c r="AO76" s="47" t="s">
        <v>81</v>
      </c>
      <c r="AP76">
        <v>0</v>
      </c>
      <c r="AQ76" s="24">
        <v>0</v>
      </c>
      <c r="AT76" s="56"/>
      <c r="AU76" s="57"/>
      <c r="AV76" s="58"/>
      <c r="AW76" s="59"/>
      <c r="AY76" s="47" t="s">
        <v>81</v>
      </c>
      <c r="AZ76">
        <v>0</v>
      </c>
      <c r="BA76" s="24">
        <v>0</v>
      </c>
    </row>
    <row r="77" spans="1:54">
      <c r="A77" s="37"/>
      <c r="B77" s="34"/>
      <c r="C77" s="35"/>
      <c r="D77" s="36"/>
      <c r="F77" s="37"/>
      <c r="G77" s="34"/>
      <c r="H77" s="35"/>
      <c r="I77" s="36"/>
      <c r="P77" s="55" t="s">
        <v>78</v>
      </c>
      <c r="Q77" s="55" t="s">
        <v>1</v>
      </c>
      <c r="R77" s="55" t="s">
        <v>76</v>
      </c>
      <c r="S77" s="55" t="s">
        <v>77</v>
      </c>
      <c r="AL77" s="25"/>
      <c r="AM77" s="25"/>
      <c r="AO77" s="46" t="s">
        <v>55</v>
      </c>
      <c r="AP77">
        <v>2</v>
      </c>
      <c r="AQ77" s="24">
        <v>70000</v>
      </c>
      <c r="AT77" s="123" t="s">
        <v>2</v>
      </c>
      <c r="AU77" s="124"/>
      <c r="AV77" s="124"/>
      <c r="AW77" s="60">
        <v>45000</v>
      </c>
      <c r="AY77" s="46" t="s">
        <v>55</v>
      </c>
      <c r="AZ77">
        <v>3</v>
      </c>
      <c r="BA77" s="24">
        <v>105000</v>
      </c>
    </row>
    <row r="78" spans="1:54">
      <c r="A78" s="128" t="s">
        <v>2</v>
      </c>
      <c r="B78" s="129"/>
      <c r="C78" s="129"/>
      <c r="D78" s="38"/>
      <c r="F78" s="128" t="s">
        <v>2</v>
      </c>
      <c r="G78" s="129"/>
      <c r="H78" s="129"/>
      <c r="I78" s="38"/>
      <c r="K78" s="55" t="s">
        <v>78</v>
      </c>
      <c r="L78" s="55" t="s">
        <v>1</v>
      </c>
      <c r="M78" s="55" t="s">
        <v>76</v>
      </c>
      <c r="N78" s="55" t="s">
        <v>77</v>
      </c>
      <c r="P78" s="56" t="s">
        <v>79</v>
      </c>
      <c r="Q78" s="57">
        <v>1</v>
      </c>
      <c r="R78" s="58">
        <v>23000</v>
      </c>
      <c r="S78" s="59">
        <v>23000</v>
      </c>
      <c r="AJ78" t="s">
        <v>2</v>
      </c>
      <c r="AM78" s="25">
        <v>34000</v>
      </c>
      <c r="AO78" s="44" t="s">
        <v>56</v>
      </c>
      <c r="AP78">
        <v>1</v>
      </c>
      <c r="AQ78" s="24">
        <v>36000</v>
      </c>
      <c r="AY78" s="44" t="s">
        <v>56</v>
      </c>
      <c r="AZ78">
        <v>2</v>
      </c>
      <c r="BA78" s="24">
        <v>72000</v>
      </c>
    </row>
    <row r="79" spans="1:54" ht="18">
      <c r="K79" s="56" t="s">
        <v>56</v>
      </c>
      <c r="L79" s="57">
        <v>1</v>
      </c>
      <c r="M79" s="58">
        <v>36000</v>
      </c>
      <c r="N79" s="59">
        <v>36000</v>
      </c>
      <c r="P79" s="56" t="s">
        <v>86</v>
      </c>
      <c r="Q79" s="57">
        <v>1</v>
      </c>
      <c r="R79" s="58">
        <v>28000</v>
      </c>
      <c r="S79" s="59">
        <v>28000</v>
      </c>
      <c r="AO79" s="46" t="s">
        <v>57</v>
      </c>
      <c r="AP79">
        <v>1</v>
      </c>
      <c r="AQ79" s="24">
        <v>36000</v>
      </c>
      <c r="AT79" s="74">
        <v>45788</v>
      </c>
      <c r="AV79" s="24"/>
      <c r="AY79" s="46" t="s">
        <v>57</v>
      </c>
      <c r="AZ79">
        <v>1</v>
      </c>
      <c r="BA79" s="24">
        <v>36000</v>
      </c>
    </row>
    <row r="80" spans="1:54">
      <c r="A80" s="33" t="s">
        <v>78</v>
      </c>
      <c r="B80" s="33" t="s">
        <v>1</v>
      </c>
      <c r="C80" s="33" t="s">
        <v>76</v>
      </c>
      <c r="D80" s="33" t="s">
        <v>77</v>
      </c>
      <c r="F80" s="33" t="s">
        <v>78</v>
      </c>
      <c r="G80" s="33" t="s">
        <v>1</v>
      </c>
      <c r="H80" s="33" t="s">
        <v>76</v>
      </c>
      <c r="I80" s="33" t="s">
        <v>77</v>
      </c>
      <c r="K80" s="56" t="s">
        <v>86</v>
      </c>
      <c r="L80" s="57">
        <v>1</v>
      </c>
      <c r="M80" s="58">
        <v>28000</v>
      </c>
      <c r="N80" s="59">
        <v>28000</v>
      </c>
      <c r="P80" s="56"/>
      <c r="Q80" s="57"/>
      <c r="R80" s="58"/>
      <c r="S80" s="59"/>
      <c r="AJ80" s="72">
        <v>45787.433537384262</v>
      </c>
      <c r="AO80" s="44" t="s">
        <v>58</v>
      </c>
      <c r="AP80">
        <v>1</v>
      </c>
      <c r="AQ80" s="24">
        <v>30000</v>
      </c>
      <c r="AT80" s="75" t="s">
        <v>98</v>
      </c>
      <c r="AU80" s="75" t="s">
        <v>1</v>
      </c>
      <c r="AV80" s="76" t="s">
        <v>99</v>
      </c>
      <c r="AY80" s="44" t="s">
        <v>58</v>
      </c>
      <c r="AZ80">
        <v>3</v>
      </c>
      <c r="BA80" s="24">
        <v>90000</v>
      </c>
    </row>
    <row r="81" spans="1:53">
      <c r="A81" s="37" t="s">
        <v>86</v>
      </c>
      <c r="B81" s="34">
        <v>1</v>
      </c>
      <c r="C81" s="35">
        <v>28000</v>
      </c>
      <c r="D81" s="36">
        <v>28000</v>
      </c>
      <c r="F81" s="37" t="s">
        <v>60</v>
      </c>
      <c r="G81" s="34">
        <v>1</v>
      </c>
      <c r="H81" s="35">
        <v>32000</v>
      </c>
      <c r="I81" s="36">
        <v>32000</v>
      </c>
      <c r="K81" s="56"/>
      <c r="L81" s="57"/>
      <c r="M81" s="58"/>
      <c r="N81" s="59"/>
      <c r="P81" s="123" t="s">
        <v>2</v>
      </c>
      <c r="Q81" s="124"/>
      <c r="R81" s="124"/>
      <c r="S81" s="60"/>
      <c r="AJ81" t="s">
        <v>0</v>
      </c>
      <c r="AO81" s="46" t="s">
        <v>59</v>
      </c>
      <c r="AP81">
        <v>0</v>
      </c>
      <c r="AQ81" s="24">
        <v>0</v>
      </c>
      <c r="AT81" s="44" t="s">
        <v>79</v>
      </c>
      <c r="AU81">
        <v>1</v>
      </c>
      <c r="AV81" s="24">
        <v>23000</v>
      </c>
      <c r="AY81" s="46" t="s">
        <v>59</v>
      </c>
      <c r="AZ81">
        <v>0</v>
      </c>
      <c r="BA81" s="24">
        <v>0</v>
      </c>
    </row>
    <row r="82" spans="1:53">
      <c r="A82" s="37" t="s">
        <v>79</v>
      </c>
      <c r="B82" s="34">
        <v>1</v>
      </c>
      <c r="C82" s="35">
        <v>23000</v>
      </c>
      <c r="D82" s="36">
        <v>23000</v>
      </c>
      <c r="F82" s="37"/>
      <c r="G82" s="34"/>
      <c r="H82" s="35"/>
      <c r="I82" s="36"/>
      <c r="K82" s="123" t="s">
        <v>2</v>
      </c>
      <c r="L82" s="124"/>
      <c r="M82" s="124"/>
      <c r="N82" s="60">
        <v>64000</v>
      </c>
      <c r="AJ82" t="s">
        <v>78</v>
      </c>
      <c r="AK82" t="s">
        <v>1</v>
      </c>
      <c r="AL82" t="s">
        <v>76</v>
      </c>
      <c r="AM82" t="s">
        <v>77</v>
      </c>
      <c r="AO82" s="44" t="s">
        <v>75</v>
      </c>
      <c r="AP82">
        <v>0</v>
      </c>
      <c r="AQ82" s="24">
        <v>0</v>
      </c>
      <c r="AT82" s="44" t="s">
        <v>82</v>
      </c>
      <c r="AU82">
        <v>2</v>
      </c>
      <c r="AV82" s="24">
        <v>56000</v>
      </c>
      <c r="AY82" s="44" t="s">
        <v>75</v>
      </c>
      <c r="AZ82">
        <v>1</v>
      </c>
      <c r="BA82" s="24">
        <v>32000</v>
      </c>
    </row>
    <row r="83" spans="1:53">
      <c r="A83" s="37" t="s">
        <v>83</v>
      </c>
      <c r="B83" s="34">
        <v>2</v>
      </c>
      <c r="C83" s="35">
        <v>6000</v>
      </c>
      <c r="D83" s="36">
        <v>0</v>
      </c>
      <c r="F83" s="128" t="s">
        <v>2</v>
      </c>
      <c r="G83" s="129"/>
      <c r="H83" s="129"/>
      <c r="I83" s="38"/>
      <c r="P83" s="55" t="s">
        <v>78</v>
      </c>
      <c r="Q83" s="55" t="s">
        <v>1</v>
      </c>
      <c r="R83" s="55" t="s">
        <v>76</v>
      </c>
      <c r="S83" s="55" t="s">
        <v>77</v>
      </c>
      <c r="AJ83" t="s">
        <v>82</v>
      </c>
      <c r="AK83">
        <v>1</v>
      </c>
      <c r="AL83" s="25">
        <v>28000</v>
      </c>
      <c r="AM83" s="25">
        <v>28000</v>
      </c>
      <c r="AO83" s="46" t="s">
        <v>60</v>
      </c>
      <c r="AP83">
        <v>0</v>
      </c>
      <c r="AQ83" s="24">
        <v>0</v>
      </c>
      <c r="AT83" s="46" t="s">
        <v>84</v>
      </c>
      <c r="AU83">
        <v>0</v>
      </c>
      <c r="AV83" s="24">
        <v>0</v>
      </c>
      <c r="AY83" s="46" t="s">
        <v>60</v>
      </c>
      <c r="AZ83">
        <v>1</v>
      </c>
      <c r="BA83" s="24">
        <v>32000</v>
      </c>
    </row>
    <row r="84" spans="1:53">
      <c r="A84" s="37"/>
      <c r="B84" s="34"/>
      <c r="C84" s="35"/>
      <c r="D84" s="36"/>
      <c r="K84" s="55" t="s">
        <v>78</v>
      </c>
      <c r="L84" s="55" t="s">
        <v>1</v>
      </c>
      <c r="M84" s="55" t="s">
        <v>76</v>
      </c>
      <c r="N84" s="55" t="s">
        <v>77</v>
      </c>
      <c r="P84" s="56" t="s">
        <v>57</v>
      </c>
      <c r="Q84" s="57">
        <v>1</v>
      </c>
      <c r="R84" s="58">
        <v>36000</v>
      </c>
      <c r="S84" s="59">
        <v>36000</v>
      </c>
      <c r="AJ84" t="s">
        <v>94</v>
      </c>
      <c r="AK84">
        <v>1</v>
      </c>
      <c r="AL84" s="25">
        <v>6000</v>
      </c>
      <c r="AM84" s="25">
        <v>6000</v>
      </c>
      <c r="AO84" s="45" t="s">
        <v>61</v>
      </c>
      <c r="AP84">
        <v>3</v>
      </c>
      <c r="AQ84" s="24">
        <v>84000</v>
      </c>
      <c r="AT84" s="46" t="s">
        <v>86</v>
      </c>
      <c r="AU84">
        <v>6</v>
      </c>
      <c r="AV84" s="24">
        <v>168000</v>
      </c>
      <c r="AY84" s="45" t="s">
        <v>61</v>
      </c>
      <c r="AZ84">
        <v>1</v>
      </c>
      <c r="BA84" s="24">
        <v>28000</v>
      </c>
    </row>
    <row r="85" spans="1:53">
      <c r="A85" s="128" t="s">
        <v>2</v>
      </c>
      <c r="B85" s="129"/>
      <c r="C85" s="129"/>
      <c r="D85" s="38"/>
      <c r="F85" s="33" t="s">
        <v>78</v>
      </c>
      <c r="G85" s="33" t="s">
        <v>1</v>
      </c>
      <c r="H85" s="33" t="s">
        <v>76</v>
      </c>
      <c r="I85" s="33" t="s">
        <v>77</v>
      </c>
      <c r="K85" s="56" t="s">
        <v>81</v>
      </c>
      <c r="L85" s="57">
        <v>1</v>
      </c>
      <c r="M85" s="58">
        <v>29000</v>
      </c>
      <c r="N85" s="59">
        <v>29000</v>
      </c>
      <c r="P85" s="56" t="s">
        <v>94</v>
      </c>
      <c r="Q85" s="57">
        <v>1</v>
      </c>
      <c r="R85" s="58">
        <v>6000</v>
      </c>
      <c r="S85" s="59">
        <v>6000</v>
      </c>
      <c r="AJ85" t="s">
        <v>87</v>
      </c>
      <c r="AK85">
        <v>1</v>
      </c>
      <c r="AL85" s="25">
        <v>7000</v>
      </c>
      <c r="AM85" s="25">
        <v>7000</v>
      </c>
      <c r="AO85" s="46" t="s">
        <v>62</v>
      </c>
      <c r="AP85">
        <v>0</v>
      </c>
      <c r="AQ85" s="24">
        <v>0</v>
      </c>
      <c r="AT85" s="47" t="s">
        <v>80</v>
      </c>
      <c r="AU85">
        <v>0</v>
      </c>
      <c r="AV85" s="24">
        <v>0</v>
      </c>
      <c r="AY85" s="46" t="s">
        <v>62</v>
      </c>
      <c r="AZ85">
        <v>0</v>
      </c>
      <c r="BA85" s="24">
        <v>0</v>
      </c>
    </row>
    <row r="86" spans="1:53">
      <c r="F86" s="37" t="s">
        <v>60</v>
      </c>
      <c r="G86" s="34">
        <v>1</v>
      </c>
      <c r="H86" s="35">
        <v>32000</v>
      </c>
      <c r="I86" s="36">
        <v>32000</v>
      </c>
      <c r="K86" s="56" t="s">
        <v>83</v>
      </c>
      <c r="L86" s="57">
        <v>1</v>
      </c>
      <c r="M86" s="58">
        <v>6000</v>
      </c>
      <c r="N86" s="59">
        <v>6000</v>
      </c>
      <c r="P86" s="56"/>
      <c r="Q86" s="57"/>
      <c r="R86" s="58"/>
      <c r="S86" s="59"/>
      <c r="AJ86" t="s">
        <v>89</v>
      </c>
      <c r="AK86">
        <v>1</v>
      </c>
      <c r="AL86" s="25">
        <v>6000</v>
      </c>
      <c r="AM86" s="25">
        <v>6000</v>
      </c>
      <c r="AO86" s="68" t="s">
        <v>83</v>
      </c>
      <c r="AP86">
        <v>0</v>
      </c>
      <c r="AQ86" s="24">
        <v>0</v>
      </c>
      <c r="AT86" s="47" t="s">
        <v>81</v>
      </c>
      <c r="AU86">
        <v>1</v>
      </c>
      <c r="AV86" s="24">
        <v>29000</v>
      </c>
      <c r="AY86" s="68" t="s">
        <v>83</v>
      </c>
      <c r="AZ86">
        <v>1</v>
      </c>
      <c r="BA86" s="24">
        <v>6000</v>
      </c>
    </row>
    <row r="87" spans="1:53">
      <c r="A87" s="33" t="s">
        <v>78</v>
      </c>
      <c r="B87" s="33" t="s">
        <v>1</v>
      </c>
      <c r="C87" s="33" t="s">
        <v>76</v>
      </c>
      <c r="D87" s="33" t="s">
        <v>77</v>
      </c>
      <c r="F87" s="37"/>
      <c r="G87" s="34"/>
      <c r="H87" s="35"/>
      <c r="I87" s="36"/>
      <c r="K87" s="56" t="s">
        <v>89</v>
      </c>
      <c r="L87" s="57">
        <v>1</v>
      </c>
      <c r="M87" s="58">
        <v>6000</v>
      </c>
      <c r="N87" s="59">
        <v>6000</v>
      </c>
      <c r="P87" s="123" t="s">
        <v>2</v>
      </c>
      <c r="Q87" s="124"/>
      <c r="R87" s="124"/>
      <c r="S87" s="60"/>
      <c r="AL87" s="25"/>
      <c r="AM87" s="25"/>
      <c r="AO87" s="69" t="s">
        <v>89</v>
      </c>
      <c r="AP87">
        <v>1</v>
      </c>
      <c r="AQ87" s="24">
        <v>6000</v>
      </c>
      <c r="AT87" s="46" t="s">
        <v>55</v>
      </c>
      <c r="AU87">
        <v>2</v>
      </c>
      <c r="AV87" s="24">
        <v>70000</v>
      </c>
      <c r="AY87" s="69" t="s">
        <v>89</v>
      </c>
      <c r="AZ87">
        <v>1</v>
      </c>
      <c r="BA87" s="24">
        <v>6000</v>
      </c>
    </row>
    <row r="88" spans="1:53">
      <c r="A88" s="37" t="s">
        <v>82</v>
      </c>
      <c r="B88" s="34">
        <v>2</v>
      </c>
      <c r="C88" s="35">
        <v>28000</v>
      </c>
      <c r="D88" s="36">
        <v>56000</v>
      </c>
      <c r="F88" s="128" t="s">
        <v>2</v>
      </c>
      <c r="G88" s="129"/>
      <c r="H88" s="129"/>
      <c r="I88" s="38">
        <v>32000</v>
      </c>
      <c r="K88" s="56" t="s">
        <v>88</v>
      </c>
      <c r="L88" s="57">
        <v>1</v>
      </c>
      <c r="M88" s="58">
        <v>7000</v>
      </c>
      <c r="N88" s="59">
        <v>7000</v>
      </c>
      <c r="AJ88" t="s">
        <v>2</v>
      </c>
      <c r="AM88" s="25">
        <v>47000</v>
      </c>
      <c r="AO88" s="68" t="s">
        <v>88</v>
      </c>
      <c r="AP88">
        <v>1</v>
      </c>
      <c r="AQ88" s="24">
        <v>7000</v>
      </c>
      <c r="AT88" s="44" t="s">
        <v>56</v>
      </c>
      <c r="AU88">
        <v>1</v>
      </c>
      <c r="AV88" s="24">
        <v>36000</v>
      </c>
      <c r="AY88" s="68" t="s">
        <v>88</v>
      </c>
      <c r="AZ88">
        <v>0</v>
      </c>
      <c r="BA88" s="24">
        <v>0</v>
      </c>
    </row>
    <row r="89" spans="1:53">
      <c r="A89" s="37" t="s">
        <v>89</v>
      </c>
      <c r="B89" s="34">
        <v>2</v>
      </c>
      <c r="C89" s="35">
        <v>6000</v>
      </c>
      <c r="D89" s="36">
        <v>12000</v>
      </c>
      <c r="K89" s="56" t="s">
        <v>94</v>
      </c>
      <c r="L89" s="57">
        <v>1</v>
      </c>
      <c r="M89" s="58">
        <v>6000</v>
      </c>
      <c r="N89" s="59">
        <v>6000</v>
      </c>
      <c r="P89" s="55" t="s">
        <v>78</v>
      </c>
      <c r="Q89" s="55" t="s">
        <v>1</v>
      </c>
      <c r="R89" s="55" t="s">
        <v>76</v>
      </c>
      <c r="S89" s="55" t="s">
        <v>77</v>
      </c>
      <c r="AO89" s="69" t="s">
        <v>94</v>
      </c>
      <c r="AP89">
        <v>0</v>
      </c>
      <c r="AQ89" s="24">
        <v>0</v>
      </c>
      <c r="AT89" s="46" t="s">
        <v>57</v>
      </c>
      <c r="AU89">
        <v>1</v>
      </c>
      <c r="AV89" s="24">
        <v>36000</v>
      </c>
      <c r="AY89" s="69" t="s">
        <v>94</v>
      </c>
      <c r="AZ89">
        <v>0</v>
      </c>
      <c r="BA89" s="24">
        <v>0</v>
      </c>
    </row>
    <row r="90" spans="1:53">
      <c r="A90" s="37" t="s">
        <v>94</v>
      </c>
      <c r="B90" s="34">
        <v>2</v>
      </c>
      <c r="C90" s="35">
        <v>6000</v>
      </c>
      <c r="D90" s="36">
        <v>12000</v>
      </c>
      <c r="F90" s="33" t="s">
        <v>78</v>
      </c>
      <c r="G90" s="33" t="s">
        <v>1</v>
      </c>
      <c r="H90" s="33" t="s">
        <v>76</v>
      </c>
      <c r="I90" s="33" t="s">
        <v>77</v>
      </c>
      <c r="K90" s="56" t="s">
        <v>95</v>
      </c>
      <c r="L90" s="57">
        <v>1</v>
      </c>
      <c r="M90" s="58">
        <v>6000</v>
      </c>
      <c r="N90" s="59">
        <v>6000</v>
      </c>
      <c r="P90" s="56" t="s">
        <v>79</v>
      </c>
      <c r="Q90" s="57">
        <v>1</v>
      </c>
      <c r="R90" s="58">
        <v>23000</v>
      </c>
      <c r="S90" s="59">
        <v>23000</v>
      </c>
      <c r="AJ90" s="72">
        <v>45787.433537384262</v>
      </c>
      <c r="AO90" s="68" t="s">
        <v>93</v>
      </c>
      <c r="AP90">
        <v>0</v>
      </c>
      <c r="AQ90" s="24">
        <v>0</v>
      </c>
      <c r="AT90" s="44" t="s">
        <v>58</v>
      </c>
      <c r="AU90">
        <v>5</v>
      </c>
      <c r="AV90" s="24">
        <v>150000</v>
      </c>
      <c r="AY90" s="68" t="s">
        <v>93</v>
      </c>
      <c r="AZ90">
        <v>0</v>
      </c>
      <c r="BA90" s="24">
        <v>0</v>
      </c>
    </row>
    <row r="91" spans="1:53">
      <c r="A91" s="37" t="s">
        <v>93</v>
      </c>
      <c r="B91" s="34">
        <v>2</v>
      </c>
      <c r="C91" s="35">
        <v>6000</v>
      </c>
      <c r="D91" s="36">
        <v>12000</v>
      </c>
      <c r="F91" s="37" t="s">
        <v>57</v>
      </c>
      <c r="G91" s="34">
        <v>1</v>
      </c>
      <c r="H91" s="35">
        <v>36000</v>
      </c>
      <c r="I91" s="36">
        <v>36000</v>
      </c>
      <c r="K91" s="56" t="s">
        <v>93</v>
      </c>
      <c r="L91" s="57">
        <v>1</v>
      </c>
      <c r="M91" s="58">
        <v>6000</v>
      </c>
      <c r="N91" s="59">
        <v>6000</v>
      </c>
      <c r="P91" s="56" t="s">
        <v>88</v>
      </c>
      <c r="Q91" s="57">
        <v>1</v>
      </c>
      <c r="R91" s="58">
        <v>7000</v>
      </c>
      <c r="S91" s="59">
        <v>7000</v>
      </c>
      <c r="AJ91" t="s">
        <v>0</v>
      </c>
      <c r="AO91" s="69" t="s">
        <v>95</v>
      </c>
      <c r="AP91">
        <v>0</v>
      </c>
      <c r="AQ91" s="24">
        <v>0</v>
      </c>
      <c r="AT91" s="46" t="s">
        <v>59</v>
      </c>
      <c r="AU91">
        <v>0</v>
      </c>
      <c r="AV91" s="24">
        <v>0</v>
      </c>
      <c r="AY91" s="69" t="s">
        <v>95</v>
      </c>
      <c r="AZ91">
        <v>0</v>
      </c>
      <c r="BA91" s="24">
        <v>0</v>
      </c>
    </row>
    <row r="92" spans="1:53">
      <c r="A92" s="37"/>
      <c r="B92" s="34"/>
      <c r="C92" s="35"/>
      <c r="D92" s="36"/>
      <c r="F92" s="37"/>
      <c r="G92" s="34"/>
      <c r="H92" s="35"/>
      <c r="I92" s="36"/>
      <c r="K92" s="56"/>
      <c r="L92" s="57"/>
      <c r="M92" s="58"/>
      <c r="N92" s="59"/>
      <c r="P92" s="56" t="s">
        <v>80</v>
      </c>
      <c r="Q92" s="57">
        <v>1</v>
      </c>
      <c r="R92" s="58">
        <v>24000</v>
      </c>
      <c r="S92" s="59">
        <v>24000</v>
      </c>
      <c r="AJ92" t="s">
        <v>78</v>
      </c>
      <c r="AK92" t="s">
        <v>1</v>
      </c>
      <c r="AL92" t="s">
        <v>76</v>
      </c>
      <c r="AM92" t="s">
        <v>77</v>
      </c>
      <c r="AO92" s="70" t="s">
        <v>87</v>
      </c>
      <c r="AP92">
        <v>1</v>
      </c>
      <c r="AQ92" s="24">
        <v>7000</v>
      </c>
      <c r="AT92" s="44" t="s">
        <v>75</v>
      </c>
      <c r="AU92">
        <v>0</v>
      </c>
      <c r="AV92" s="24">
        <v>0</v>
      </c>
      <c r="AY92" s="70" t="s">
        <v>87</v>
      </c>
      <c r="AZ92">
        <v>1</v>
      </c>
      <c r="BA92" s="24">
        <v>7000</v>
      </c>
    </row>
    <row r="93" spans="1:53">
      <c r="A93" s="128" t="s">
        <v>2</v>
      </c>
      <c r="B93" s="129"/>
      <c r="C93" s="129"/>
      <c r="D93" s="38"/>
      <c r="F93" s="128" t="s">
        <v>2</v>
      </c>
      <c r="G93" s="129"/>
      <c r="H93" s="129"/>
      <c r="I93" s="38"/>
      <c r="K93" s="123" t="s">
        <v>2</v>
      </c>
      <c r="L93" s="124"/>
      <c r="M93" s="124"/>
      <c r="N93" s="60">
        <v>66000</v>
      </c>
      <c r="P93" s="56" t="s">
        <v>95</v>
      </c>
      <c r="Q93" s="57">
        <v>1</v>
      </c>
      <c r="R93" s="58">
        <v>6000</v>
      </c>
      <c r="S93" s="59">
        <v>6000</v>
      </c>
      <c r="AJ93" t="s">
        <v>60</v>
      </c>
      <c r="AK93">
        <v>1</v>
      </c>
      <c r="AL93" s="25">
        <v>32000</v>
      </c>
      <c r="AM93" s="25">
        <v>32000</v>
      </c>
      <c r="AT93" s="46" t="s">
        <v>60</v>
      </c>
      <c r="AU93">
        <v>0</v>
      </c>
      <c r="AV93" s="24">
        <v>0</v>
      </c>
    </row>
    <row r="94" spans="1:53">
      <c r="P94" s="56"/>
      <c r="Q94" s="57"/>
      <c r="R94" s="58"/>
      <c r="S94" s="59"/>
      <c r="AJ94" t="s">
        <v>86</v>
      </c>
      <c r="AK94">
        <v>1</v>
      </c>
      <c r="AL94" s="25">
        <v>28000</v>
      </c>
      <c r="AM94" s="25">
        <v>28000</v>
      </c>
      <c r="AT94" s="45" t="s">
        <v>61</v>
      </c>
      <c r="AU94">
        <v>0</v>
      </c>
      <c r="AV94" s="24">
        <v>0</v>
      </c>
    </row>
    <row r="95" spans="1:53">
      <c r="A95" s="33" t="s">
        <v>78</v>
      </c>
      <c r="B95" s="33" t="s">
        <v>1</v>
      </c>
      <c r="C95" s="33" t="s">
        <v>76</v>
      </c>
      <c r="D95" s="33" t="s">
        <v>77</v>
      </c>
      <c r="F95" s="33" t="s">
        <v>78</v>
      </c>
      <c r="G95" s="33" t="s">
        <v>1</v>
      </c>
      <c r="H95" s="33" t="s">
        <v>76</v>
      </c>
      <c r="I95" s="33" t="s">
        <v>77</v>
      </c>
      <c r="K95" s="55" t="s">
        <v>78</v>
      </c>
      <c r="L95" s="55" t="s">
        <v>1</v>
      </c>
      <c r="M95" s="55" t="s">
        <v>76</v>
      </c>
      <c r="N95" s="55" t="s">
        <v>77</v>
      </c>
      <c r="P95" s="123" t="s">
        <v>2</v>
      </c>
      <c r="Q95" s="124"/>
      <c r="R95" s="124"/>
      <c r="S95" s="60"/>
      <c r="AJ95" t="s">
        <v>82</v>
      </c>
      <c r="AK95">
        <v>2</v>
      </c>
      <c r="AL95" s="25">
        <v>28000</v>
      </c>
      <c r="AM95" s="25">
        <v>56000</v>
      </c>
      <c r="AT95" s="46" t="s">
        <v>62</v>
      </c>
      <c r="AU95">
        <v>0</v>
      </c>
      <c r="AV95" s="24">
        <v>0</v>
      </c>
    </row>
    <row r="96" spans="1:53">
      <c r="A96" s="37" t="s">
        <v>93</v>
      </c>
      <c r="B96" s="34">
        <v>2</v>
      </c>
      <c r="C96" s="35">
        <v>6000</v>
      </c>
      <c r="D96" s="36">
        <v>12000</v>
      </c>
      <c r="F96" s="37" t="s">
        <v>57</v>
      </c>
      <c r="G96" s="34">
        <v>1</v>
      </c>
      <c r="H96" s="35">
        <v>36000</v>
      </c>
      <c r="I96" s="36">
        <v>36000</v>
      </c>
      <c r="K96" s="56" t="s">
        <v>58</v>
      </c>
      <c r="L96" s="57">
        <v>2</v>
      </c>
      <c r="M96" s="58">
        <v>30000</v>
      </c>
      <c r="N96" s="59">
        <v>60000</v>
      </c>
      <c r="AJ96" t="s">
        <v>61</v>
      </c>
      <c r="AK96">
        <v>1</v>
      </c>
      <c r="AL96" s="25">
        <v>28000</v>
      </c>
      <c r="AM96" s="25">
        <v>28000</v>
      </c>
      <c r="AT96" s="68" t="s">
        <v>83</v>
      </c>
      <c r="AU96">
        <v>0</v>
      </c>
      <c r="AV96" s="24">
        <v>0</v>
      </c>
    </row>
    <row r="97" spans="1:48">
      <c r="A97" s="37"/>
      <c r="B97" s="34"/>
      <c r="C97" s="35"/>
      <c r="D97" s="36"/>
      <c r="F97" s="37" t="s">
        <v>81</v>
      </c>
      <c r="G97" s="34">
        <v>1</v>
      </c>
      <c r="H97" s="35">
        <v>29000</v>
      </c>
      <c r="I97" s="36">
        <v>29000</v>
      </c>
      <c r="K97" s="56" t="s">
        <v>75</v>
      </c>
      <c r="L97" s="57">
        <v>1</v>
      </c>
      <c r="M97" s="58">
        <v>32000</v>
      </c>
      <c r="N97" s="59">
        <v>32000</v>
      </c>
      <c r="P97" s="55" t="s">
        <v>78</v>
      </c>
      <c r="Q97" s="55" t="s">
        <v>1</v>
      </c>
      <c r="R97" s="55" t="s">
        <v>76</v>
      </c>
      <c r="S97" s="55" t="s">
        <v>77</v>
      </c>
      <c r="AL97" s="25"/>
      <c r="AM97" s="25"/>
      <c r="AT97" s="69" t="s">
        <v>89</v>
      </c>
      <c r="AU97">
        <v>3</v>
      </c>
      <c r="AV97" s="24">
        <v>18000</v>
      </c>
    </row>
    <row r="98" spans="1:48">
      <c r="A98" s="128" t="s">
        <v>2</v>
      </c>
      <c r="B98" s="129"/>
      <c r="C98" s="129"/>
      <c r="D98" s="38"/>
      <c r="F98" s="37" t="s">
        <v>93</v>
      </c>
      <c r="G98" s="34">
        <v>1</v>
      </c>
      <c r="H98" s="35">
        <v>6000</v>
      </c>
      <c r="I98" s="36">
        <v>6000</v>
      </c>
      <c r="K98" s="56" t="s">
        <v>62</v>
      </c>
      <c r="L98" s="57">
        <v>1</v>
      </c>
      <c r="M98" s="58">
        <v>25000</v>
      </c>
      <c r="N98" s="59">
        <v>25000</v>
      </c>
      <c r="P98" s="56" t="s">
        <v>86</v>
      </c>
      <c r="Q98" s="57">
        <v>1</v>
      </c>
      <c r="R98" s="58">
        <v>28000</v>
      </c>
      <c r="S98" s="59">
        <v>28000</v>
      </c>
      <c r="AJ98" t="s">
        <v>2</v>
      </c>
      <c r="AM98" s="25">
        <v>144000</v>
      </c>
      <c r="AT98" s="68" t="s">
        <v>88</v>
      </c>
      <c r="AU98">
        <v>0</v>
      </c>
      <c r="AV98" s="24">
        <v>0</v>
      </c>
    </row>
    <row r="99" spans="1:48">
      <c r="F99" s="37" t="s">
        <v>87</v>
      </c>
      <c r="G99" s="34">
        <v>1</v>
      </c>
      <c r="H99" s="35">
        <v>7000</v>
      </c>
      <c r="I99" s="36">
        <v>7000</v>
      </c>
      <c r="K99" s="56"/>
      <c r="L99" s="57"/>
      <c r="M99" s="58"/>
      <c r="N99" s="59"/>
      <c r="P99" s="56" t="s">
        <v>94</v>
      </c>
      <c r="Q99" s="57">
        <v>1</v>
      </c>
      <c r="R99" s="58">
        <v>6000</v>
      </c>
      <c r="S99" s="59">
        <v>6000</v>
      </c>
      <c r="AT99" s="69" t="s">
        <v>94</v>
      </c>
      <c r="AU99">
        <v>0</v>
      </c>
      <c r="AV99" s="24">
        <v>0</v>
      </c>
    </row>
    <row r="100" spans="1:48">
      <c r="A100" s="33" t="s">
        <v>78</v>
      </c>
      <c r="B100" s="33" t="s">
        <v>1</v>
      </c>
      <c r="C100" s="33" t="s">
        <v>76</v>
      </c>
      <c r="D100" s="33" t="s">
        <v>77</v>
      </c>
      <c r="F100" s="37"/>
      <c r="G100" s="34"/>
      <c r="H100" s="35"/>
      <c r="I100" s="36"/>
      <c r="K100" s="123" t="s">
        <v>2</v>
      </c>
      <c r="L100" s="124"/>
      <c r="M100" s="124"/>
      <c r="N100" s="60">
        <v>117000</v>
      </c>
      <c r="P100" s="56"/>
      <c r="Q100" s="57"/>
      <c r="R100" s="58"/>
      <c r="S100" s="59"/>
      <c r="AJ100" s="72">
        <v>45787.433537384262</v>
      </c>
      <c r="AT100" s="68" t="s">
        <v>93</v>
      </c>
      <c r="AU100">
        <v>0</v>
      </c>
      <c r="AV100" s="24">
        <v>0</v>
      </c>
    </row>
    <row r="101" spans="1:48">
      <c r="A101" s="37" t="s">
        <v>82</v>
      </c>
      <c r="B101" s="34">
        <v>1</v>
      </c>
      <c r="C101" s="35">
        <v>28000</v>
      </c>
      <c r="D101" s="36">
        <v>28000</v>
      </c>
      <c r="F101" s="128" t="s">
        <v>2</v>
      </c>
      <c r="G101" s="129"/>
      <c r="H101" s="129"/>
      <c r="I101" s="38"/>
      <c r="P101" s="123" t="s">
        <v>2</v>
      </c>
      <c r="Q101" s="124"/>
      <c r="R101" s="124"/>
      <c r="S101" s="60"/>
      <c r="AJ101" t="s">
        <v>0</v>
      </c>
      <c r="AT101" s="69" t="s">
        <v>95</v>
      </c>
      <c r="AU101">
        <v>0</v>
      </c>
      <c r="AV101" s="24">
        <v>0</v>
      </c>
    </row>
    <row r="102" spans="1:48">
      <c r="A102" s="37" t="s">
        <v>86</v>
      </c>
      <c r="B102" s="34">
        <v>1</v>
      </c>
      <c r="C102" s="35">
        <v>28000</v>
      </c>
      <c r="D102" s="36">
        <v>28000</v>
      </c>
      <c r="K102" s="55" t="s">
        <v>78</v>
      </c>
      <c r="L102" s="55" t="s">
        <v>1</v>
      </c>
      <c r="M102" s="55" t="s">
        <v>76</v>
      </c>
      <c r="N102" s="55" t="s">
        <v>77</v>
      </c>
      <c r="AJ102" t="s">
        <v>78</v>
      </c>
      <c r="AK102" t="s">
        <v>1</v>
      </c>
      <c r="AL102" t="s">
        <v>76</v>
      </c>
      <c r="AM102" t="s">
        <v>77</v>
      </c>
      <c r="AT102" s="70" t="s">
        <v>87</v>
      </c>
      <c r="AU102">
        <v>3</v>
      </c>
      <c r="AV102" s="24">
        <v>21000</v>
      </c>
    </row>
    <row r="103" spans="1:48">
      <c r="A103" s="37"/>
      <c r="B103" s="34"/>
      <c r="C103" s="35"/>
      <c r="D103" s="36"/>
      <c r="F103" s="33" t="s">
        <v>78</v>
      </c>
      <c r="G103" s="33" t="s">
        <v>1</v>
      </c>
      <c r="H103" s="33" t="s">
        <v>76</v>
      </c>
      <c r="I103" s="33" t="s">
        <v>77</v>
      </c>
      <c r="K103" s="56" t="s">
        <v>58</v>
      </c>
      <c r="L103" s="57">
        <v>2</v>
      </c>
      <c r="M103" s="58">
        <v>30000</v>
      </c>
      <c r="N103" s="59">
        <v>60000</v>
      </c>
      <c r="P103" s="55" t="s">
        <v>78</v>
      </c>
      <c r="Q103" s="55" t="s">
        <v>1</v>
      </c>
      <c r="R103" s="55" t="s">
        <v>76</v>
      </c>
      <c r="S103" s="55" t="s">
        <v>77</v>
      </c>
      <c r="AJ103" t="s">
        <v>58</v>
      </c>
      <c r="AK103">
        <v>1</v>
      </c>
      <c r="AL103" s="25">
        <v>30000</v>
      </c>
      <c r="AM103" s="25">
        <v>30000</v>
      </c>
    </row>
    <row r="104" spans="1:48">
      <c r="A104" s="128" t="s">
        <v>2</v>
      </c>
      <c r="B104" s="129"/>
      <c r="C104" s="129"/>
      <c r="D104" s="38"/>
      <c r="F104" s="37" t="s">
        <v>57</v>
      </c>
      <c r="G104" s="34">
        <v>1</v>
      </c>
      <c r="H104" s="35">
        <v>36000</v>
      </c>
      <c r="I104" s="36">
        <v>36000</v>
      </c>
      <c r="K104" s="56" t="s">
        <v>75</v>
      </c>
      <c r="L104" s="57">
        <v>1</v>
      </c>
      <c r="M104" s="58">
        <v>32000</v>
      </c>
      <c r="N104" s="59">
        <v>32000</v>
      </c>
      <c r="P104" s="56" t="s">
        <v>62</v>
      </c>
      <c r="Q104" s="57">
        <v>1</v>
      </c>
      <c r="R104" s="58">
        <v>25000</v>
      </c>
      <c r="S104" s="59">
        <v>25000</v>
      </c>
      <c r="AJ104" t="s">
        <v>62</v>
      </c>
      <c r="AK104">
        <v>1</v>
      </c>
      <c r="AL104" s="25">
        <v>25000</v>
      </c>
      <c r="AM104" s="25">
        <v>25000</v>
      </c>
    </row>
    <row r="105" spans="1:48">
      <c r="F105" s="37"/>
      <c r="G105" s="34"/>
      <c r="H105" s="35"/>
      <c r="I105" s="36"/>
      <c r="K105" s="56" t="s">
        <v>62</v>
      </c>
      <c r="L105" s="57">
        <v>1</v>
      </c>
      <c r="M105" s="58">
        <v>25000</v>
      </c>
      <c r="N105" s="59">
        <v>25000</v>
      </c>
      <c r="P105" s="56" t="s">
        <v>89</v>
      </c>
      <c r="Q105" s="57">
        <v>1</v>
      </c>
      <c r="R105" s="58">
        <v>6000</v>
      </c>
      <c r="S105" s="59">
        <v>6000</v>
      </c>
      <c r="AL105" s="25"/>
      <c r="AM105" s="25"/>
    </row>
    <row r="106" spans="1:48">
      <c r="A106" s="33" t="s">
        <v>78</v>
      </c>
      <c r="B106" s="33" t="s">
        <v>1</v>
      </c>
      <c r="C106" s="33" t="s">
        <v>76</v>
      </c>
      <c r="D106" s="33" t="s">
        <v>77</v>
      </c>
      <c r="F106" s="128" t="s">
        <v>2</v>
      </c>
      <c r="G106" s="129"/>
      <c r="H106" s="129"/>
      <c r="I106" s="38"/>
      <c r="K106" s="56"/>
      <c r="L106" s="57"/>
      <c r="M106" s="58"/>
      <c r="N106" s="59"/>
      <c r="P106" s="56" t="s">
        <v>94</v>
      </c>
      <c r="Q106" s="57">
        <v>1</v>
      </c>
      <c r="R106" s="58">
        <v>6000</v>
      </c>
      <c r="S106" s="59">
        <v>6000</v>
      </c>
      <c r="AJ106" t="s">
        <v>2</v>
      </c>
      <c r="AM106" s="25">
        <v>55000</v>
      </c>
    </row>
    <row r="107" spans="1:48">
      <c r="A107" s="37" t="s">
        <v>57</v>
      </c>
      <c r="B107" s="34">
        <v>1</v>
      </c>
      <c r="C107" s="35">
        <v>36000</v>
      </c>
      <c r="D107" s="36">
        <v>36000</v>
      </c>
      <c r="K107" s="123" t="s">
        <v>2</v>
      </c>
      <c r="L107" s="124"/>
      <c r="M107" s="124"/>
      <c r="N107" s="60">
        <v>117000</v>
      </c>
      <c r="P107" s="56"/>
      <c r="Q107" s="57"/>
      <c r="R107" s="58"/>
      <c r="S107" s="59"/>
    </row>
    <row r="108" spans="1:48">
      <c r="A108" s="37"/>
      <c r="B108" s="34"/>
      <c r="C108" s="35"/>
      <c r="D108" s="36"/>
      <c r="F108" s="33" t="s">
        <v>78</v>
      </c>
      <c r="G108" s="33" t="s">
        <v>1</v>
      </c>
      <c r="H108" s="33" t="s">
        <v>76</v>
      </c>
      <c r="I108" s="33" t="s">
        <v>77</v>
      </c>
      <c r="P108" s="123" t="s">
        <v>2</v>
      </c>
      <c r="Q108" s="124"/>
      <c r="R108" s="124"/>
      <c r="S108" s="60"/>
      <c r="AJ108" s="72">
        <v>45787.433537384262</v>
      </c>
    </row>
    <row r="109" spans="1:48">
      <c r="A109" s="128" t="s">
        <v>2</v>
      </c>
      <c r="B109" s="129"/>
      <c r="C109" s="129"/>
      <c r="D109" s="38"/>
      <c r="F109" s="37" t="s">
        <v>86</v>
      </c>
      <c r="G109" s="34">
        <v>1</v>
      </c>
      <c r="H109" s="35">
        <v>28000</v>
      </c>
      <c r="I109" s="36">
        <v>28000</v>
      </c>
      <c r="K109" s="55" t="s">
        <v>78</v>
      </c>
      <c r="L109" s="55" t="s">
        <v>1</v>
      </c>
      <c r="M109" s="55" t="s">
        <v>76</v>
      </c>
      <c r="N109" s="55" t="s">
        <v>77</v>
      </c>
      <c r="AJ109" t="s">
        <v>0</v>
      </c>
    </row>
    <row r="110" spans="1:48">
      <c r="F110" s="37" t="s">
        <v>87</v>
      </c>
      <c r="G110" s="34">
        <v>1</v>
      </c>
      <c r="H110" s="35">
        <v>7000</v>
      </c>
      <c r="I110" s="36">
        <v>7000</v>
      </c>
      <c r="K110" s="56" t="s">
        <v>79</v>
      </c>
      <c r="L110" s="57">
        <v>1</v>
      </c>
      <c r="M110" s="58">
        <v>23000</v>
      </c>
      <c r="N110" s="59">
        <v>23000</v>
      </c>
      <c r="P110" s="55" t="s">
        <v>78</v>
      </c>
      <c r="Q110" s="55" t="s">
        <v>1</v>
      </c>
      <c r="R110" s="55" t="s">
        <v>76</v>
      </c>
      <c r="S110" s="55" t="s">
        <v>77</v>
      </c>
      <c r="AJ110" t="s">
        <v>78</v>
      </c>
      <c r="AK110" t="s">
        <v>1</v>
      </c>
      <c r="AL110" t="s">
        <v>76</v>
      </c>
      <c r="AM110" t="s">
        <v>77</v>
      </c>
    </row>
    <row r="111" spans="1:48">
      <c r="A111" s="33" t="s">
        <v>78</v>
      </c>
      <c r="B111" s="33" t="s">
        <v>1</v>
      </c>
      <c r="C111" s="33" t="s">
        <v>76</v>
      </c>
      <c r="D111" s="33" t="s">
        <v>77</v>
      </c>
      <c r="F111" s="37" t="s">
        <v>93</v>
      </c>
      <c r="G111" s="34">
        <v>1</v>
      </c>
      <c r="H111" s="35">
        <v>6000</v>
      </c>
      <c r="I111" s="36">
        <v>6000</v>
      </c>
      <c r="K111" s="56"/>
      <c r="L111" s="57"/>
      <c r="M111" s="58"/>
      <c r="N111" s="59"/>
      <c r="P111" s="56" t="s">
        <v>84</v>
      </c>
      <c r="Q111" s="57">
        <v>1</v>
      </c>
      <c r="R111" s="58">
        <v>23000</v>
      </c>
      <c r="S111" s="59">
        <v>23000</v>
      </c>
      <c r="AJ111" t="s">
        <v>75</v>
      </c>
      <c r="AK111">
        <v>1</v>
      </c>
      <c r="AL111" s="25">
        <v>32000</v>
      </c>
      <c r="AM111" s="25">
        <v>32000</v>
      </c>
    </row>
    <row r="112" spans="1:48">
      <c r="A112" s="37" t="s">
        <v>86</v>
      </c>
      <c r="B112" s="34">
        <v>2</v>
      </c>
      <c r="C112" s="35">
        <v>28000</v>
      </c>
      <c r="D112" s="36">
        <v>56000</v>
      </c>
      <c r="F112" s="37"/>
      <c r="G112" s="34"/>
      <c r="H112" s="35"/>
      <c r="I112" s="36"/>
      <c r="K112" s="123" t="s">
        <v>2</v>
      </c>
      <c r="L112" s="124"/>
      <c r="M112" s="124"/>
      <c r="N112" s="60">
        <v>23000</v>
      </c>
      <c r="P112" s="56"/>
      <c r="Q112" s="57"/>
      <c r="R112" s="58"/>
      <c r="S112" s="59"/>
      <c r="AL112" s="25"/>
      <c r="AM112" s="25"/>
    </row>
    <row r="113" spans="1:39">
      <c r="A113" s="37" t="s">
        <v>89</v>
      </c>
      <c r="B113" s="34">
        <v>2</v>
      </c>
      <c r="C113" s="35">
        <v>6000</v>
      </c>
      <c r="D113" s="36">
        <v>12000</v>
      </c>
      <c r="F113" s="128" t="s">
        <v>2</v>
      </c>
      <c r="G113" s="129"/>
      <c r="H113" s="129"/>
      <c r="I113" s="38"/>
      <c r="P113" s="123" t="s">
        <v>2</v>
      </c>
      <c r="Q113" s="124"/>
      <c r="R113" s="124"/>
      <c r="S113" s="60"/>
      <c r="AJ113" t="s">
        <v>2</v>
      </c>
      <c r="AM113" s="25">
        <v>32000</v>
      </c>
    </row>
    <row r="114" spans="1:39">
      <c r="A114" s="37"/>
      <c r="B114" s="34"/>
      <c r="C114" s="35"/>
      <c r="D114" s="36"/>
      <c r="K114" s="55" t="s">
        <v>78</v>
      </c>
      <c r="L114" s="55" t="s">
        <v>1</v>
      </c>
      <c r="M114" s="55" t="s">
        <v>76</v>
      </c>
      <c r="N114" s="55" t="s">
        <v>77</v>
      </c>
    </row>
    <row r="115" spans="1:39">
      <c r="A115" s="128" t="s">
        <v>2</v>
      </c>
      <c r="B115" s="129"/>
      <c r="C115" s="129"/>
      <c r="D115" s="38"/>
      <c r="K115" s="56" t="s">
        <v>84</v>
      </c>
      <c r="L115" s="57">
        <v>1</v>
      </c>
      <c r="M115" s="58">
        <v>23000</v>
      </c>
      <c r="N115" s="59">
        <v>23000</v>
      </c>
      <c r="P115" s="55" t="s">
        <v>78</v>
      </c>
      <c r="Q115" s="55" t="s">
        <v>1</v>
      </c>
      <c r="R115" s="55" t="s">
        <v>76</v>
      </c>
      <c r="S115" s="55" t="s">
        <v>77</v>
      </c>
      <c r="AJ115" s="72">
        <v>45787.433537384262</v>
      </c>
    </row>
    <row r="116" spans="1:39">
      <c r="K116" s="56"/>
      <c r="L116" s="57"/>
      <c r="M116" s="58"/>
      <c r="N116" s="59"/>
      <c r="P116" s="56" t="s">
        <v>55</v>
      </c>
      <c r="Q116" s="57">
        <v>1</v>
      </c>
      <c r="R116" s="58">
        <v>35000</v>
      </c>
      <c r="S116" s="59">
        <v>35000</v>
      </c>
      <c r="AJ116" t="s">
        <v>0</v>
      </c>
    </row>
    <row r="117" spans="1:39">
      <c r="A117" s="33" t="s">
        <v>78</v>
      </c>
      <c r="B117" s="33" t="s">
        <v>1</v>
      </c>
      <c r="C117" s="33" t="s">
        <v>76</v>
      </c>
      <c r="D117" s="33" t="s">
        <v>77</v>
      </c>
      <c r="K117" s="123" t="s">
        <v>2</v>
      </c>
      <c r="L117" s="124"/>
      <c r="M117" s="124"/>
      <c r="N117" s="60">
        <v>23000</v>
      </c>
      <c r="P117" s="56" t="s">
        <v>75</v>
      </c>
      <c r="Q117" s="57">
        <v>1</v>
      </c>
      <c r="R117" s="58">
        <v>32000</v>
      </c>
      <c r="S117" s="59">
        <v>32000</v>
      </c>
      <c r="AJ117" t="s">
        <v>78</v>
      </c>
      <c r="AK117" t="s">
        <v>1</v>
      </c>
      <c r="AL117" t="s">
        <v>76</v>
      </c>
      <c r="AM117" t="s">
        <v>77</v>
      </c>
    </row>
    <row r="118" spans="1:39">
      <c r="A118" s="37" t="s">
        <v>58</v>
      </c>
      <c r="B118" s="34">
        <v>1</v>
      </c>
      <c r="C118" s="35">
        <v>30000</v>
      </c>
      <c r="D118" s="36">
        <v>30000</v>
      </c>
      <c r="P118" s="56"/>
      <c r="Q118" s="57"/>
      <c r="R118" s="58"/>
      <c r="S118" s="59"/>
      <c r="AJ118" t="s">
        <v>57</v>
      </c>
      <c r="AK118">
        <v>1</v>
      </c>
      <c r="AL118" s="25">
        <v>36000</v>
      </c>
      <c r="AM118" s="25">
        <v>36000</v>
      </c>
    </row>
    <row r="119" spans="1:39">
      <c r="A119" s="37" t="s">
        <v>82</v>
      </c>
      <c r="B119" s="34">
        <v>1</v>
      </c>
      <c r="C119" s="35">
        <v>28000</v>
      </c>
      <c r="D119" s="36">
        <v>28000</v>
      </c>
      <c r="K119" s="55" t="s">
        <v>78</v>
      </c>
      <c r="L119" s="55" t="s">
        <v>1</v>
      </c>
      <c r="M119" s="55" t="s">
        <v>76</v>
      </c>
      <c r="N119" s="55" t="s">
        <v>77</v>
      </c>
      <c r="P119" s="123" t="s">
        <v>2</v>
      </c>
      <c r="Q119" s="124"/>
      <c r="R119" s="124"/>
      <c r="S119" s="60"/>
      <c r="AL119" s="25"/>
      <c r="AM119" s="25"/>
    </row>
    <row r="120" spans="1:39">
      <c r="A120" s="37" t="s">
        <v>93</v>
      </c>
      <c r="B120" s="34">
        <v>1</v>
      </c>
      <c r="C120" s="35">
        <v>6000</v>
      </c>
      <c r="D120" s="36">
        <v>6000</v>
      </c>
      <c r="K120" s="56" t="s">
        <v>91</v>
      </c>
      <c r="L120" s="57">
        <v>1</v>
      </c>
      <c r="M120" s="58">
        <v>15000</v>
      </c>
      <c r="N120" s="59">
        <v>15000</v>
      </c>
      <c r="AJ120" t="s">
        <v>2</v>
      </c>
      <c r="AM120" s="25">
        <v>36000</v>
      </c>
    </row>
    <row r="121" spans="1:39">
      <c r="A121" s="37" t="s">
        <v>81</v>
      </c>
      <c r="B121" s="34">
        <v>1</v>
      </c>
      <c r="C121" s="35">
        <v>29000</v>
      </c>
      <c r="D121" s="36">
        <v>29000</v>
      </c>
      <c r="K121" s="56"/>
      <c r="L121" s="57"/>
      <c r="M121" s="58"/>
      <c r="N121" s="59"/>
    </row>
    <row r="122" spans="1:39">
      <c r="A122" s="37" t="s">
        <v>83</v>
      </c>
      <c r="B122" s="34">
        <v>1</v>
      </c>
      <c r="C122" s="35">
        <v>6000</v>
      </c>
      <c r="D122" s="36">
        <v>6000</v>
      </c>
      <c r="K122" s="123" t="s">
        <v>2</v>
      </c>
      <c r="L122" s="124"/>
      <c r="M122" s="124"/>
      <c r="N122" s="60">
        <v>15000</v>
      </c>
    </row>
    <row r="123" spans="1:39">
      <c r="A123" s="37" t="s">
        <v>84</v>
      </c>
      <c r="B123" s="34">
        <v>1</v>
      </c>
      <c r="C123" s="35">
        <v>23000</v>
      </c>
      <c r="D123" s="36">
        <v>23000</v>
      </c>
      <c r="AJ123" t="s">
        <v>98</v>
      </c>
      <c r="AK123" t="s">
        <v>1</v>
      </c>
      <c r="AL123" s="24" t="s">
        <v>99</v>
      </c>
    </row>
    <row r="124" spans="1:39">
      <c r="A124" s="37"/>
      <c r="B124" s="34"/>
      <c r="C124" s="35"/>
      <c r="D124" s="36"/>
      <c r="K124" s="55" t="s">
        <v>78</v>
      </c>
      <c r="L124" s="55" t="s">
        <v>1</v>
      </c>
      <c r="M124" s="55" t="s">
        <v>76</v>
      </c>
      <c r="N124" s="55" t="s">
        <v>77</v>
      </c>
      <c r="AJ124" s="44" t="s">
        <v>79</v>
      </c>
      <c r="AK124">
        <v>1</v>
      </c>
      <c r="AL124" s="24">
        <v>23000</v>
      </c>
    </row>
    <row r="125" spans="1:39">
      <c r="A125" s="128" t="s">
        <v>2</v>
      </c>
      <c r="B125" s="129"/>
      <c r="C125" s="129"/>
      <c r="D125" s="38"/>
      <c r="K125" s="56" t="s">
        <v>58</v>
      </c>
      <c r="L125" s="57">
        <v>1</v>
      </c>
      <c r="M125" s="58">
        <v>30000</v>
      </c>
      <c r="N125" s="59">
        <v>30000</v>
      </c>
      <c r="AJ125" s="44" t="s">
        <v>82</v>
      </c>
      <c r="AK125">
        <v>7</v>
      </c>
      <c r="AL125" s="24">
        <v>196000</v>
      </c>
    </row>
    <row r="126" spans="1:39">
      <c r="K126" s="56" t="s">
        <v>62</v>
      </c>
      <c r="L126" s="57">
        <v>1</v>
      </c>
      <c r="M126" s="58">
        <v>25000</v>
      </c>
      <c r="N126" s="59">
        <v>25000</v>
      </c>
      <c r="AJ126" s="46" t="s">
        <v>84</v>
      </c>
      <c r="AK126">
        <v>0</v>
      </c>
      <c r="AL126" s="24">
        <v>0</v>
      </c>
    </row>
    <row r="127" spans="1:39">
      <c r="A127" s="33" t="s">
        <v>78</v>
      </c>
      <c r="B127" s="33" t="s">
        <v>1</v>
      </c>
      <c r="C127" s="33" t="s">
        <v>76</v>
      </c>
      <c r="D127" s="33" t="s">
        <v>77</v>
      </c>
      <c r="K127" s="56"/>
      <c r="L127" s="57"/>
      <c r="M127" s="58"/>
      <c r="N127" s="59"/>
      <c r="AJ127" s="46" t="s">
        <v>86</v>
      </c>
      <c r="AK127">
        <v>2</v>
      </c>
      <c r="AL127" s="24">
        <v>56000</v>
      </c>
    </row>
    <row r="128" spans="1:39">
      <c r="A128" s="37" t="s">
        <v>58</v>
      </c>
      <c r="B128" s="34">
        <v>1</v>
      </c>
      <c r="C128" s="35">
        <v>30000</v>
      </c>
      <c r="D128" s="36">
        <v>30000</v>
      </c>
      <c r="K128" s="123" t="s">
        <v>2</v>
      </c>
      <c r="L128" s="124"/>
      <c r="M128" s="124"/>
      <c r="N128" s="60">
        <v>55000</v>
      </c>
      <c r="AJ128" s="47" t="s">
        <v>80</v>
      </c>
      <c r="AK128">
        <v>0</v>
      </c>
      <c r="AL128" s="24">
        <v>0</v>
      </c>
    </row>
    <row r="129" spans="1:38">
      <c r="A129" s="37" t="s">
        <v>80</v>
      </c>
      <c r="B129" s="34">
        <v>1</v>
      </c>
      <c r="C129" s="35">
        <v>24000</v>
      </c>
      <c r="D129" s="36">
        <v>24000</v>
      </c>
      <c r="AJ129" s="47" t="s">
        <v>81</v>
      </c>
      <c r="AK129">
        <v>0</v>
      </c>
      <c r="AL129" s="24">
        <v>0</v>
      </c>
    </row>
    <row r="130" spans="1:38">
      <c r="A130" s="37"/>
      <c r="B130" s="34"/>
      <c r="C130" s="35"/>
      <c r="D130" s="36"/>
      <c r="K130" s="55" t="s">
        <v>97</v>
      </c>
      <c r="L130" s="55" t="s">
        <v>1</v>
      </c>
      <c r="M130" s="55" t="s">
        <v>76</v>
      </c>
      <c r="N130" s="55" t="s">
        <v>77</v>
      </c>
      <c r="AJ130" s="46" t="s">
        <v>55</v>
      </c>
      <c r="AK130">
        <v>0</v>
      </c>
      <c r="AL130" s="24">
        <v>0</v>
      </c>
    </row>
    <row r="131" spans="1:38">
      <c r="A131" s="128" t="s">
        <v>2</v>
      </c>
      <c r="B131" s="129"/>
      <c r="C131" s="129"/>
      <c r="D131" s="38"/>
      <c r="K131" s="56" t="s">
        <v>82</v>
      </c>
      <c r="L131" s="57">
        <v>1</v>
      </c>
      <c r="M131" s="58">
        <v>28000</v>
      </c>
      <c r="N131" s="59">
        <v>28000</v>
      </c>
      <c r="AJ131" s="44" t="s">
        <v>56</v>
      </c>
      <c r="AK131">
        <v>6</v>
      </c>
      <c r="AL131" s="24">
        <v>216000</v>
      </c>
    </row>
    <row r="132" spans="1:38">
      <c r="K132" s="56"/>
      <c r="L132" s="57"/>
      <c r="M132" s="58"/>
      <c r="N132" s="59"/>
      <c r="AJ132" s="46" t="s">
        <v>57</v>
      </c>
      <c r="AK132">
        <v>3</v>
      </c>
      <c r="AL132" s="24">
        <v>108000</v>
      </c>
    </row>
    <row r="133" spans="1:38">
      <c r="A133" s="33" t="s">
        <v>78</v>
      </c>
      <c r="B133" s="33" t="s">
        <v>1</v>
      </c>
      <c r="C133" s="33" t="s">
        <v>76</v>
      </c>
      <c r="D133" s="33" t="s">
        <v>77</v>
      </c>
      <c r="K133" s="123" t="s">
        <v>2</v>
      </c>
      <c r="L133" s="124"/>
      <c r="M133" s="124"/>
      <c r="N133" s="60">
        <v>28000</v>
      </c>
      <c r="AJ133" s="44" t="s">
        <v>58</v>
      </c>
      <c r="AK133">
        <v>2</v>
      </c>
      <c r="AL133" s="24">
        <v>60000</v>
      </c>
    </row>
    <row r="134" spans="1:38">
      <c r="A134" s="37" t="s">
        <v>84</v>
      </c>
      <c r="B134" s="34">
        <v>1</v>
      </c>
      <c r="C134" s="35">
        <v>23000</v>
      </c>
      <c r="D134" s="36">
        <v>23000</v>
      </c>
      <c r="AJ134" s="46" t="s">
        <v>59</v>
      </c>
      <c r="AK134">
        <v>0</v>
      </c>
      <c r="AL134" s="24">
        <v>0</v>
      </c>
    </row>
    <row r="135" spans="1:38">
      <c r="A135" s="37" t="s">
        <v>87</v>
      </c>
      <c r="B135" s="34">
        <v>1</v>
      </c>
      <c r="C135" s="35">
        <v>7000</v>
      </c>
      <c r="D135" s="36">
        <v>7000</v>
      </c>
      <c r="K135" s="55" t="s">
        <v>97</v>
      </c>
      <c r="L135" s="55" t="s">
        <v>1</v>
      </c>
      <c r="M135" s="55" t="s">
        <v>76</v>
      </c>
      <c r="N135" s="55" t="s">
        <v>77</v>
      </c>
      <c r="AJ135" s="44" t="s">
        <v>75</v>
      </c>
      <c r="AK135">
        <v>1</v>
      </c>
      <c r="AL135" s="24">
        <v>32000</v>
      </c>
    </row>
    <row r="136" spans="1:38">
      <c r="A136" s="37" t="s">
        <v>93</v>
      </c>
      <c r="B136" s="34">
        <v>1</v>
      </c>
      <c r="C136" s="35">
        <v>6000</v>
      </c>
      <c r="D136" s="36">
        <v>6000</v>
      </c>
      <c r="K136" s="56" t="s">
        <v>82</v>
      </c>
      <c r="L136" s="57">
        <v>4</v>
      </c>
      <c r="M136" s="58">
        <v>28000</v>
      </c>
      <c r="N136" s="59">
        <v>112000</v>
      </c>
      <c r="AJ136" s="46" t="s">
        <v>60</v>
      </c>
      <c r="AK136">
        <v>1</v>
      </c>
      <c r="AL136" s="24">
        <v>32000</v>
      </c>
    </row>
    <row r="137" spans="1:38">
      <c r="A137" s="37" t="s">
        <v>88</v>
      </c>
      <c r="B137" s="34">
        <v>1</v>
      </c>
      <c r="C137" s="35">
        <v>7000</v>
      </c>
      <c r="D137" s="36">
        <v>7000</v>
      </c>
      <c r="K137" s="56" t="s">
        <v>86</v>
      </c>
      <c r="L137" s="57">
        <v>1</v>
      </c>
      <c r="M137" s="58">
        <v>28000</v>
      </c>
      <c r="N137" s="59">
        <v>28000</v>
      </c>
      <c r="AJ137" s="45" t="s">
        <v>61</v>
      </c>
      <c r="AK137">
        <v>2</v>
      </c>
      <c r="AL137" s="24">
        <v>56000</v>
      </c>
    </row>
    <row r="138" spans="1:38">
      <c r="A138" s="37"/>
      <c r="B138" s="34"/>
      <c r="C138" s="35"/>
      <c r="D138" s="36"/>
      <c r="K138" s="56" t="s">
        <v>87</v>
      </c>
      <c r="L138" s="57">
        <v>1</v>
      </c>
      <c r="M138" s="58">
        <v>7000</v>
      </c>
      <c r="N138" s="59">
        <v>7000</v>
      </c>
      <c r="AJ138" s="46" t="s">
        <v>62</v>
      </c>
      <c r="AK138">
        <v>3</v>
      </c>
      <c r="AL138" s="24">
        <v>75000</v>
      </c>
    </row>
    <row r="139" spans="1:38">
      <c r="A139" s="128" t="s">
        <v>2</v>
      </c>
      <c r="B139" s="129"/>
      <c r="C139" s="129"/>
      <c r="D139" s="38"/>
      <c r="K139" s="56"/>
      <c r="L139" s="57"/>
      <c r="M139" s="58"/>
      <c r="N139" s="59"/>
      <c r="AJ139" s="68" t="s">
        <v>83</v>
      </c>
      <c r="AK139">
        <v>0</v>
      </c>
      <c r="AL139" s="24">
        <v>0</v>
      </c>
    </row>
    <row r="140" spans="1:38">
      <c r="K140" s="123" t="s">
        <v>2</v>
      </c>
      <c r="L140" s="124"/>
      <c r="M140" s="124"/>
      <c r="N140" s="60">
        <v>147000</v>
      </c>
      <c r="AJ140" s="69" t="s">
        <v>89</v>
      </c>
      <c r="AK140">
        <v>5</v>
      </c>
      <c r="AL140" s="24">
        <v>30000</v>
      </c>
    </row>
    <row r="141" spans="1:38">
      <c r="A141" s="33" t="s">
        <v>78</v>
      </c>
      <c r="B141" s="33" t="s">
        <v>1</v>
      </c>
      <c r="C141" s="33" t="s">
        <v>76</v>
      </c>
      <c r="D141" s="33" t="s">
        <v>77</v>
      </c>
      <c r="AJ141" s="68" t="s">
        <v>88</v>
      </c>
      <c r="AK141">
        <v>1</v>
      </c>
      <c r="AL141" s="24">
        <v>7000</v>
      </c>
    </row>
    <row r="142" spans="1:38">
      <c r="A142" s="37" t="s">
        <v>79</v>
      </c>
      <c r="B142" s="34">
        <v>2</v>
      </c>
      <c r="C142" s="35">
        <v>23000</v>
      </c>
      <c r="D142" s="36">
        <v>46000</v>
      </c>
      <c r="K142" s="55" t="s">
        <v>97</v>
      </c>
      <c r="L142" s="55" t="s">
        <v>1</v>
      </c>
      <c r="M142" s="55" t="s">
        <v>76</v>
      </c>
      <c r="N142" s="55" t="s">
        <v>77</v>
      </c>
      <c r="AJ142" s="69" t="s">
        <v>94</v>
      </c>
      <c r="AK142">
        <v>2</v>
      </c>
      <c r="AL142" s="24">
        <v>12000</v>
      </c>
    </row>
    <row r="143" spans="1:38">
      <c r="A143" s="37" t="s">
        <v>93</v>
      </c>
      <c r="B143" s="34">
        <v>1</v>
      </c>
      <c r="C143" s="35">
        <v>6000</v>
      </c>
      <c r="D143" s="36">
        <v>6000</v>
      </c>
      <c r="K143" s="56" t="s">
        <v>80</v>
      </c>
      <c r="L143" s="57">
        <v>2</v>
      </c>
      <c r="M143" s="58">
        <v>24000</v>
      </c>
      <c r="N143" s="59">
        <v>48000</v>
      </c>
      <c r="AJ143" s="68" t="s">
        <v>93</v>
      </c>
      <c r="AK143">
        <v>2</v>
      </c>
      <c r="AL143" s="24">
        <v>12000</v>
      </c>
    </row>
    <row r="144" spans="1:38">
      <c r="A144" s="37" t="s">
        <v>95</v>
      </c>
      <c r="B144" s="34">
        <v>1</v>
      </c>
      <c r="C144" s="35">
        <v>6000</v>
      </c>
      <c r="D144" s="36">
        <v>6000</v>
      </c>
      <c r="K144" s="56"/>
      <c r="L144" s="57"/>
      <c r="M144" s="58"/>
      <c r="N144" s="59"/>
      <c r="AJ144" s="69" t="s">
        <v>95</v>
      </c>
      <c r="AK144">
        <v>0</v>
      </c>
      <c r="AL144" s="24">
        <v>0</v>
      </c>
    </row>
    <row r="145" spans="1:38">
      <c r="A145" s="37"/>
      <c r="B145" s="34"/>
      <c r="C145" s="35"/>
      <c r="D145" s="36"/>
      <c r="K145" s="123" t="s">
        <v>2</v>
      </c>
      <c r="L145" s="124"/>
      <c r="M145" s="124"/>
      <c r="N145" s="60">
        <v>48000</v>
      </c>
      <c r="AJ145" s="70" t="s">
        <v>87</v>
      </c>
      <c r="AK145">
        <v>2</v>
      </c>
      <c r="AL145" s="24">
        <v>14000</v>
      </c>
    </row>
    <row r="146" spans="1:38">
      <c r="A146" s="128" t="s">
        <v>2</v>
      </c>
      <c r="B146" s="129"/>
      <c r="C146" s="129"/>
      <c r="D146" s="38"/>
    </row>
    <row r="148" spans="1:38">
      <c r="A148" s="33" t="s">
        <v>78</v>
      </c>
      <c r="B148" s="33" t="s">
        <v>1</v>
      </c>
      <c r="C148" s="33" t="s">
        <v>76</v>
      </c>
      <c r="D148" s="33" t="s">
        <v>77</v>
      </c>
    </row>
    <row r="149" spans="1:38">
      <c r="A149" s="37" t="s">
        <v>57</v>
      </c>
      <c r="B149" s="34">
        <v>1</v>
      </c>
      <c r="C149" s="35">
        <v>36000</v>
      </c>
      <c r="D149" s="36">
        <v>36000</v>
      </c>
    </row>
    <row r="150" spans="1:38">
      <c r="A150" s="37" t="s">
        <v>82</v>
      </c>
      <c r="B150" s="34">
        <v>1</v>
      </c>
      <c r="C150" s="35">
        <v>28000</v>
      </c>
      <c r="D150" s="36">
        <v>28000</v>
      </c>
    </row>
    <row r="151" spans="1:38">
      <c r="A151" s="37"/>
      <c r="B151" s="34"/>
      <c r="C151" s="35"/>
      <c r="D151" s="36"/>
    </row>
    <row r="152" spans="1:38">
      <c r="A152" s="128" t="s">
        <v>2</v>
      </c>
      <c r="B152" s="129"/>
      <c r="C152" s="129"/>
      <c r="D152" s="38"/>
    </row>
    <row r="154" spans="1:38">
      <c r="A154" s="33" t="s">
        <v>78</v>
      </c>
      <c r="B154" s="33" t="s">
        <v>1</v>
      </c>
      <c r="C154" s="33" t="s">
        <v>76</v>
      </c>
      <c r="D154" s="33" t="s">
        <v>77</v>
      </c>
    </row>
    <row r="155" spans="1:38">
      <c r="A155" s="37" t="s">
        <v>79</v>
      </c>
      <c r="B155" s="34">
        <v>1</v>
      </c>
      <c r="C155" s="35">
        <v>23000</v>
      </c>
      <c r="D155" s="36">
        <v>23000</v>
      </c>
    </row>
    <row r="156" spans="1:38">
      <c r="A156" s="37" t="s">
        <v>84</v>
      </c>
      <c r="B156" s="34">
        <v>1</v>
      </c>
      <c r="C156" s="35">
        <v>23000</v>
      </c>
      <c r="D156" s="36">
        <v>23000</v>
      </c>
    </row>
    <row r="157" spans="1:38">
      <c r="A157" s="37"/>
      <c r="B157" s="34"/>
      <c r="C157" s="35"/>
      <c r="D157" s="36"/>
    </row>
    <row r="158" spans="1:38">
      <c r="A158" s="128" t="s">
        <v>2</v>
      </c>
      <c r="B158" s="129"/>
      <c r="C158" s="129"/>
      <c r="D158" s="38"/>
    </row>
    <row r="160" spans="1:38">
      <c r="A160" s="33" t="s">
        <v>78</v>
      </c>
      <c r="B160" s="33" t="s">
        <v>1</v>
      </c>
      <c r="C160" s="33" t="s">
        <v>76</v>
      </c>
      <c r="D160" s="33" t="s">
        <v>77</v>
      </c>
    </row>
    <row r="161" spans="1:4">
      <c r="A161" s="37" t="s">
        <v>58</v>
      </c>
      <c r="B161" s="34">
        <v>1</v>
      </c>
      <c r="C161" s="35">
        <v>30000</v>
      </c>
      <c r="D161" s="36">
        <v>30000</v>
      </c>
    </row>
    <row r="162" spans="1:4">
      <c r="A162" s="37" t="s">
        <v>81</v>
      </c>
      <c r="B162" s="34">
        <v>1</v>
      </c>
      <c r="C162" s="35">
        <v>29000</v>
      </c>
      <c r="D162" s="36">
        <v>29000</v>
      </c>
    </row>
    <row r="163" spans="1:4">
      <c r="A163" s="37"/>
      <c r="B163" s="34"/>
      <c r="C163" s="35"/>
      <c r="D163" s="36"/>
    </row>
    <row r="164" spans="1:4">
      <c r="A164" s="128" t="s">
        <v>2</v>
      </c>
      <c r="B164" s="129"/>
      <c r="C164" s="129"/>
      <c r="D164" s="38">
        <v>59000</v>
      </c>
    </row>
    <row r="166" spans="1:4">
      <c r="A166" s="33" t="s">
        <v>78</v>
      </c>
      <c r="B166" s="33" t="s">
        <v>1</v>
      </c>
      <c r="C166" s="33" t="s">
        <v>76</v>
      </c>
      <c r="D166" s="33" t="s">
        <v>77</v>
      </c>
    </row>
    <row r="167" spans="1:4">
      <c r="A167" s="37" t="s">
        <v>58</v>
      </c>
      <c r="B167" s="34">
        <v>2</v>
      </c>
      <c r="C167" s="35">
        <v>30000</v>
      </c>
      <c r="D167" s="36">
        <v>60000</v>
      </c>
    </row>
    <row r="168" spans="1:4">
      <c r="A168" s="37"/>
      <c r="B168" s="34"/>
      <c r="C168" s="35"/>
      <c r="D168" s="36"/>
    </row>
    <row r="169" spans="1:4">
      <c r="A169" s="128" t="s">
        <v>2</v>
      </c>
      <c r="B169" s="129"/>
      <c r="C169" s="129"/>
      <c r="D169" s="38"/>
    </row>
    <row r="171" spans="1:4">
      <c r="A171" s="33" t="s">
        <v>78</v>
      </c>
      <c r="B171" s="33" t="s">
        <v>1</v>
      </c>
      <c r="C171" s="33" t="s">
        <v>76</v>
      </c>
      <c r="D171" s="33" t="s">
        <v>77</v>
      </c>
    </row>
    <row r="172" spans="1:4">
      <c r="A172" s="37" t="s">
        <v>82</v>
      </c>
      <c r="B172" s="34">
        <v>5</v>
      </c>
      <c r="C172" s="35">
        <v>28000</v>
      </c>
      <c r="D172" s="36">
        <v>140000</v>
      </c>
    </row>
    <row r="173" spans="1:4">
      <c r="A173" s="37" t="s">
        <v>83</v>
      </c>
      <c r="B173" s="34">
        <v>5</v>
      </c>
      <c r="C173" s="35">
        <v>6000</v>
      </c>
      <c r="D173" s="36">
        <v>30000</v>
      </c>
    </row>
    <row r="174" spans="1:4">
      <c r="A174" s="37" t="s">
        <v>89</v>
      </c>
      <c r="B174" s="34">
        <v>5</v>
      </c>
      <c r="C174" s="35">
        <v>6000</v>
      </c>
      <c r="D174" s="36">
        <v>30000</v>
      </c>
    </row>
    <row r="175" spans="1:4">
      <c r="A175" s="37" t="s">
        <v>88</v>
      </c>
      <c r="B175" s="34">
        <v>5</v>
      </c>
      <c r="C175" s="35">
        <v>7000</v>
      </c>
      <c r="D175" s="36">
        <v>35000</v>
      </c>
    </row>
    <row r="176" spans="1:4">
      <c r="A176" s="37"/>
      <c r="B176" s="34"/>
      <c r="C176" s="35"/>
      <c r="D176" s="36"/>
    </row>
    <row r="177" spans="1:4">
      <c r="A177" s="128" t="s">
        <v>2</v>
      </c>
      <c r="B177" s="129"/>
      <c r="C177" s="129"/>
      <c r="D177" s="38"/>
    </row>
    <row r="179" spans="1:4">
      <c r="A179" s="33" t="s">
        <v>78</v>
      </c>
      <c r="B179" s="33" t="s">
        <v>1</v>
      </c>
      <c r="C179" s="33" t="s">
        <v>76</v>
      </c>
      <c r="D179" s="33" t="s">
        <v>77</v>
      </c>
    </row>
    <row r="180" spans="1:4">
      <c r="A180" s="37" t="s">
        <v>58</v>
      </c>
      <c r="B180" s="34">
        <v>1</v>
      </c>
      <c r="C180" s="35">
        <v>30000</v>
      </c>
      <c r="D180" s="36">
        <v>30000</v>
      </c>
    </row>
    <row r="181" spans="1:4">
      <c r="A181" s="37" t="s">
        <v>57</v>
      </c>
      <c r="B181" s="34">
        <v>2</v>
      </c>
      <c r="C181" s="35">
        <v>36000</v>
      </c>
      <c r="D181" s="36">
        <v>72000</v>
      </c>
    </row>
    <row r="182" spans="1:4">
      <c r="A182" s="37" t="s">
        <v>61</v>
      </c>
      <c r="B182" s="34">
        <v>1</v>
      </c>
      <c r="C182" s="35">
        <v>28000</v>
      </c>
      <c r="D182" s="36">
        <v>28000</v>
      </c>
    </row>
    <row r="183" spans="1:4">
      <c r="A183" s="37" t="s">
        <v>82</v>
      </c>
      <c r="B183" s="34">
        <v>1</v>
      </c>
      <c r="C183" s="35">
        <v>28000</v>
      </c>
      <c r="D183" s="36">
        <v>28000</v>
      </c>
    </row>
    <row r="184" spans="1:4">
      <c r="A184" s="37" t="s">
        <v>87</v>
      </c>
      <c r="B184" s="34">
        <v>1</v>
      </c>
      <c r="C184" s="35">
        <v>7000</v>
      </c>
      <c r="D184" s="36">
        <v>7000</v>
      </c>
    </row>
    <row r="185" spans="1:4">
      <c r="A185" s="37"/>
      <c r="B185" s="34"/>
      <c r="C185" s="35"/>
      <c r="D185" s="36"/>
    </row>
    <row r="186" spans="1:4">
      <c r="A186" s="128" t="s">
        <v>2</v>
      </c>
      <c r="B186" s="129"/>
      <c r="C186" s="129"/>
      <c r="D186" s="38"/>
    </row>
    <row r="188" spans="1:4">
      <c r="A188" s="33" t="s">
        <v>78</v>
      </c>
      <c r="B188" s="33" t="s">
        <v>1</v>
      </c>
      <c r="C188" s="33" t="s">
        <v>76</v>
      </c>
      <c r="D188" s="33" t="s">
        <v>77</v>
      </c>
    </row>
    <row r="189" spans="1:4">
      <c r="A189" s="37" t="s">
        <v>75</v>
      </c>
      <c r="B189" s="34">
        <v>1</v>
      </c>
      <c r="C189" s="35">
        <v>32000</v>
      </c>
      <c r="D189" s="36">
        <v>32000</v>
      </c>
    </row>
    <row r="190" spans="1:4">
      <c r="A190" s="37" t="s">
        <v>82</v>
      </c>
      <c r="B190" s="34">
        <v>1</v>
      </c>
      <c r="C190" s="35">
        <v>28000</v>
      </c>
      <c r="D190" s="36">
        <v>28000</v>
      </c>
    </row>
    <row r="191" spans="1:4">
      <c r="A191" s="37" t="s">
        <v>83</v>
      </c>
      <c r="B191" s="34">
        <v>1</v>
      </c>
      <c r="C191" s="35">
        <v>6000</v>
      </c>
      <c r="D191" s="36">
        <v>6000</v>
      </c>
    </row>
    <row r="192" spans="1:4">
      <c r="A192" s="37" t="s">
        <v>89</v>
      </c>
      <c r="B192" s="34">
        <v>1</v>
      </c>
      <c r="C192" s="35">
        <v>6000</v>
      </c>
      <c r="D192" s="36">
        <v>6000</v>
      </c>
    </row>
    <row r="193" spans="1:4">
      <c r="A193" s="37" t="s">
        <v>88</v>
      </c>
      <c r="B193" s="34">
        <v>1</v>
      </c>
      <c r="C193" s="35">
        <v>7000</v>
      </c>
      <c r="D193" s="36">
        <v>7000</v>
      </c>
    </row>
    <row r="194" spans="1:4">
      <c r="A194" s="37" t="s">
        <v>94</v>
      </c>
      <c r="B194" s="34">
        <v>1</v>
      </c>
      <c r="C194" s="35">
        <v>6000</v>
      </c>
      <c r="D194" s="36">
        <v>6000</v>
      </c>
    </row>
    <row r="195" spans="1:4">
      <c r="A195" s="37" t="s">
        <v>93</v>
      </c>
      <c r="B195" s="34">
        <v>1</v>
      </c>
      <c r="C195" s="35">
        <v>6000</v>
      </c>
      <c r="D195" s="36">
        <v>6000</v>
      </c>
    </row>
    <row r="196" spans="1:4">
      <c r="A196" s="37" t="s">
        <v>95</v>
      </c>
      <c r="B196" s="34">
        <v>1</v>
      </c>
      <c r="C196" s="35">
        <v>6000</v>
      </c>
      <c r="D196" s="36">
        <v>6000</v>
      </c>
    </row>
    <row r="197" spans="1:4">
      <c r="A197" s="37" t="s">
        <v>87</v>
      </c>
      <c r="B197" s="34">
        <v>1</v>
      </c>
      <c r="C197" s="35">
        <v>7000</v>
      </c>
      <c r="D197" s="36">
        <v>7000</v>
      </c>
    </row>
    <row r="198" spans="1:4">
      <c r="A198" s="37"/>
      <c r="B198" s="34"/>
      <c r="C198" s="35"/>
      <c r="D198" s="36"/>
    </row>
    <row r="199" spans="1:4">
      <c r="A199" s="128" t="s">
        <v>2</v>
      </c>
      <c r="B199" s="129"/>
      <c r="C199" s="129"/>
      <c r="D199" s="38"/>
    </row>
    <row r="201" spans="1:4">
      <c r="A201" s="33" t="s">
        <v>78</v>
      </c>
      <c r="B201" s="33" t="s">
        <v>1</v>
      </c>
      <c r="C201" s="33" t="s">
        <v>76</v>
      </c>
      <c r="D201" s="33" t="s">
        <v>77</v>
      </c>
    </row>
    <row r="202" spans="1:4">
      <c r="A202" s="37" t="s">
        <v>56</v>
      </c>
      <c r="B202" s="34">
        <v>1</v>
      </c>
      <c r="C202" s="35">
        <v>36000</v>
      </c>
      <c r="D202" s="36">
        <v>36000</v>
      </c>
    </row>
    <row r="203" spans="1:4">
      <c r="A203" s="37" t="s">
        <v>83</v>
      </c>
      <c r="B203" s="34">
        <v>1</v>
      </c>
      <c r="C203" s="35">
        <v>6000</v>
      </c>
      <c r="D203" s="36">
        <v>6000</v>
      </c>
    </row>
    <row r="204" spans="1:4">
      <c r="A204" s="37" t="s">
        <v>55</v>
      </c>
      <c r="B204" s="34">
        <v>1</v>
      </c>
      <c r="C204" s="35">
        <v>35000</v>
      </c>
      <c r="D204" s="36">
        <v>35000</v>
      </c>
    </row>
    <row r="205" spans="1:4">
      <c r="A205" s="37" t="s">
        <v>57</v>
      </c>
      <c r="B205" s="34">
        <v>1</v>
      </c>
      <c r="C205" s="35">
        <v>36000</v>
      </c>
      <c r="D205" s="36">
        <v>36000</v>
      </c>
    </row>
    <row r="206" spans="1:4">
      <c r="A206" s="37" t="s">
        <v>87</v>
      </c>
      <c r="B206" s="34">
        <v>1</v>
      </c>
      <c r="C206" s="35">
        <v>7000</v>
      </c>
      <c r="D206" s="36">
        <v>7000</v>
      </c>
    </row>
    <row r="207" spans="1:4">
      <c r="A207" s="37"/>
      <c r="B207" s="34"/>
      <c r="C207" s="35"/>
      <c r="D207" s="36"/>
    </row>
    <row r="208" spans="1:4">
      <c r="A208" s="33" t="s">
        <v>78</v>
      </c>
      <c r="B208" s="33" t="s">
        <v>1</v>
      </c>
      <c r="C208" s="33" t="s">
        <v>76</v>
      </c>
      <c r="D208" s="33" t="s">
        <v>77</v>
      </c>
    </row>
    <row r="209" spans="1:4">
      <c r="A209" s="37" t="s">
        <v>58</v>
      </c>
      <c r="B209" s="34">
        <v>2</v>
      </c>
      <c r="C209" s="35">
        <v>30000</v>
      </c>
      <c r="D209" s="36">
        <v>60000</v>
      </c>
    </row>
    <row r="210" spans="1:4">
      <c r="A210" s="37" t="s">
        <v>80</v>
      </c>
      <c r="B210" s="34">
        <v>1</v>
      </c>
      <c r="C210" s="35">
        <v>24000</v>
      </c>
      <c r="D210" s="36">
        <v>24000</v>
      </c>
    </row>
    <row r="211" spans="1:4">
      <c r="A211" s="37" t="s">
        <v>83</v>
      </c>
      <c r="B211" s="34">
        <v>1</v>
      </c>
      <c r="C211" s="35">
        <v>6000</v>
      </c>
      <c r="D211" s="36">
        <v>6000</v>
      </c>
    </row>
    <row r="212" spans="1:4">
      <c r="A212" s="37"/>
      <c r="B212" s="34"/>
      <c r="C212" s="35"/>
      <c r="D212" s="36"/>
    </row>
    <row r="213" spans="1:4">
      <c r="A213" s="128" t="s">
        <v>2</v>
      </c>
      <c r="B213" s="129"/>
      <c r="C213" s="129"/>
      <c r="D213" s="38"/>
    </row>
    <row r="215" spans="1:4">
      <c r="A215" s="33" t="s">
        <v>78</v>
      </c>
      <c r="B215" s="33" t="s">
        <v>1</v>
      </c>
      <c r="C215" s="33" t="s">
        <v>76</v>
      </c>
      <c r="D215" s="33" t="s">
        <v>77</v>
      </c>
    </row>
    <row r="216" spans="1:4">
      <c r="A216" s="37" t="s">
        <v>57</v>
      </c>
      <c r="B216" s="34">
        <v>1</v>
      </c>
      <c r="C216" s="35">
        <v>36000</v>
      </c>
      <c r="D216" s="36">
        <v>36000</v>
      </c>
    </row>
    <row r="217" spans="1:4">
      <c r="A217" s="37" t="s">
        <v>83</v>
      </c>
      <c r="B217" s="34">
        <v>1</v>
      </c>
      <c r="C217" s="35">
        <v>6000</v>
      </c>
      <c r="D217" s="36">
        <v>6000</v>
      </c>
    </row>
    <row r="218" spans="1:4">
      <c r="A218" s="37" t="s">
        <v>79</v>
      </c>
      <c r="B218" s="34">
        <v>1</v>
      </c>
      <c r="C218" s="35">
        <v>23000</v>
      </c>
      <c r="D218" s="36">
        <v>23000</v>
      </c>
    </row>
    <row r="219" spans="1:4">
      <c r="A219" s="37" t="s">
        <v>87</v>
      </c>
      <c r="B219" s="34">
        <v>1</v>
      </c>
      <c r="C219" s="35">
        <v>7000</v>
      </c>
      <c r="D219" s="36">
        <v>7000</v>
      </c>
    </row>
    <row r="220" spans="1:4">
      <c r="A220" s="37" t="s">
        <v>93</v>
      </c>
      <c r="B220" s="34">
        <v>1</v>
      </c>
      <c r="C220" s="35">
        <v>6000</v>
      </c>
      <c r="D220" s="36">
        <v>6000</v>
      </c>
    </row>
    <row r="221" spans="1:4">
      <c r="A221" s="37"/>
      <c r="B221" s="34"/>
      <c r="C221" s="35"/>
      <c r="D221" s="36"/>
    </row>
    <row r="222" spans="1:4">
      <c r="A222" s="128" t="s">
        <v>2</v>
      </c>
      <c r="B222" s="129"/>
      <c r="C222" s="129"/>
      <c r="D222" s="38"/>
    </row>
    <row r="224" spans="1:4">
      <c r="A224" s="33" t="s">
        <v>78</v>
      </c>
      <c r="B224" s="33" t="s">
        <v>1</v>
      </c>
      <c r="C224" s="33" t="s">
        <v>76</v>
      </c>
      <c r="D224" s="33" t="s">
        <v>77</v>
      </c>
    </row>
    <row r="225" spans="1:4">
      <c r="A225" s="37" t="s">
        <v>62</v>
      </c>
      <c r="B225" s="34">
        <v>1</v>
      </c>
      <c r="C225" s="35">
        <v>25000</v>
      </c>
      <c r="D225" s="36">
        <v>25000</v>
      </c>
    </row>
    <row r="226" spans="1:4">
      <c r="A226" s="37" t="s">
        <v>75</v>
      </c>
      <c r="B226" s="34">
        <v>1</v>
      </c>
      <c r="C226" s="35">
        <v>32000</v>
      </c>
      <c r="D226" s="36">
        <v>32000</v>
      </c>
    </row>
    <row r="227" spans="1:4">
      <c r="A227" s="37" t="s">
        <v>61</v>
      </c>
      <c r="B227" s="34">
        <v>1</v>
      </c>
      <c r="C227" s="35">
        <v>28000</v>
      </c>
      <c r="D227" s="36">
        <v>28000</v>
      </c>
    </row>
    <row r="228" spans="1:4">
      <c r="A228" s="37" t="s">
        <v>86</v>
      </c>
      <c r="B228" s="34">
        <v>2</v>
      </c>
      <c r="C228" s="35">
        <v>28000</v>
      </c>
      <c r="D228" s="36">
        <v>56000</v>
      </c>
    </row>
    <row r="229" spans="1:4">
      <c r="A229" s="37" t="s">
        <v>83</v>
      </c>
      <c r="B229" s="34">
        <v>2</v>
      </c>
      <c r="C229" s="35">
        <v>6000</v>
      </c>
      <c r="D229" s="36">
        <v>12000</v>
      </c>
    </row>
    <row r="230" spans="1:4">
      <c r="A230" s="37" t="s">
        <v>58</v>
      </c>
      <c r="B230" s="34">
        <v>1</v>
      </c>
      <c r="C230" s="35">
        <v>30000</v>
      </c>
      <c r="D230" s="36">
        <v>30000</v>
      </c>
    </row>
    <row r="231" spans="1:4">
      <c r="A231" s="37"/>
      <c r="B231" s="34"/>
      <c r="C231" s="35"/>
      <c r="D231" s="36"/>
    </row>
    <row r="232" spans="1:4">
      <c r="A232" s="128" t="s">
        <v>2</v>
      </c>
      <c r="B232" s="129"/>
      <c r="C232" s="129"/>
      <c r="D232" s="38"/>
    </row>
    <row r="234" spans="1:4">
      <c r="A234" s="33" t="s">
        <v>78</v>
      </c>
      <c r="B234" s="33" t="s">
        <v>1</v>
      </c>
      <c r="C234" s="33" t="s">
        <v>76</v>
      </c>
      <c r="D234" s="33" t="s">
        <v>77</v>
      </c>
    </row>
    <row r="235" spans="1:4">
      <c r="A235" s="37" t="s">
        <v>61</v>
      </c>
      <c r="B235" s="34">
        <v>1</v>
      </c>
      <c r="C235" s="35">
        <v>28000</v>
      </c>
      <c r="D235" s="36">
        <v>28000</v>
      </c>
    </row>
    <row r="236" spans="1:4">
      <c r="A236" s="37" t="s">
        <v>58</v>
      </c>
      <c r="B236" s="34">
        <v>1</v>
      </c>
      <c r="C236" s="35">
        <v>30000</v>
      </c>
      <c r="D236" s="36">
        <v>30000</v>
      </c>
    </row>
    <row r="237" spans="1:4">
      <c r="A237" s="37"/>
      <c r="B237" s="34"/>
      <c r="C237" s="35"/>
      <c r="D237" s="36"/>
    </row>
    <row r="238" spans="1:4">
      <c r="A238" s="128" t="s">
        <v>2</v>
      </c>
      <c r="B238" s="129"/>
      <c r="C238" s="129"/>
      <c r="D238" s="38"/>
    </row>
    <row r="240" spans="1:4">
      <c r="A240" s="33" t="s">
        <v>78</v>
      </c>
      <c r="B240" s="33" t="s">
        <v>1</v>
      </c>
      <c r="C240" s="33" t="s">
        <v>76</v>
      </c>
      <c r="D240" s="33" t="s">
        <v>77</v>
      </c>
    </row>
    <row r="241" spans="1:4">
      <c r="A241" s="37" t="s">
        <v>86</v>
      </c>
      <c r="B241" s="34">
        <v>2</v>
      </c>
      <c r="C241" s="35">
        <v>28000</v>
      </c>
      <c r="D241" s="36">
        <v>56000</v>
      </c>
    </row>
    <row r="242" spans="1:4">
      <c r="A242" s="37" t="s">
        <v>89</v>
      </c>
      <c r="B242" s="34">
        <v>2</v>
      </c>
      <c r="C242" s="35">
        <v>6000</v>
      </c>
      <c r="D242" s="36">
        <v>12000</v>
      </c>
    </row>
    <row r="243" spans="1:4">
      <c r="A243" s="37" t="s">
        <v>88</v>
      </c>
      <c r="B243" s="34">
        <v>2</v>
      </c>
      <c r="C243" s="35">
        <v>7000</v>
      </c>
      <c r="D243" s="36">
        <v>14000</v>
      </c>
    </row>
    <row r="244" spans="1:4">
      <c r="A244" s="37" t="s">
        <v>94</v>
      </c>
      <c r="B244" s="34">
        <v>2</v>
      </c>
      <c r="C244" s="35">
        <v>6000</v>
      </c>
      <c r="D244" s="36">
        <v>12000</v>
      </c>
    </row>
    <row r="245" spans="1:4">
      <c r="A245" s="37" t="s">
        <v>93</v>
      </c>
      <c r="B245" s="34">
        <v>2</v>
      </c>
      <c r="C245" s="35">
        <v>6000</v>
      </c>
      <c r="D245" s="36">
        <v>12000</v>
      </c>
    </row>
    <row r="246" spans="1:4">
      <c r="A246" s="37" t="s">
        <v>95</v>
      </c>
      <c r="B246" s="34">
        <v>2</v>
      </c>
      <c r="C246" s="35">
        <v>6000</v>
      </c>
      <c r="D246" s="36">
        <v>12000</v>
      </c>
    </row>
    <row r="247" spans="1:4">
      <c r="A247" s="37" t="s">
        <v>87</v>
      </c>
      <c r="B247" s="34">
        <v>2</v>
      </c>
      <c r="C247" s="35">
        <v>7000</v>
      </c>
      <c r="D247" s="36">
        <v>14000</v>
      </c>
    </row>
    <row r="248" spans="1:4">
      <c r="A248" s="37"/>
      <c r="B248" s="34"/>
      <c r="C248" s="35"/>
      <c r="D248" s="36"/>
    </row>
    <row r="249" spans="1:4">
      <c r="A249" s="128" t="s">
        <v>2</v>
      </c>
      <c r="B249" s="129"/>
      <c r="C249" s="129"/>
      <c r="D249" s="38"/>
    </row>
    <row r="251" spans="1:4">
      <c r="A251" s="33" t="s">
        <v>78</v>
      </c>
      <c r="B251" s="33" t="s">
        <v>1</v>
      </c>
      <c r="C251" s="33" t="s">
        <v>76</v>
      </c>
      <c r="D251" s="33" t="s">
        <v>77</v>
      </c>
    </row>
    <row r="252" spans="1:4">
      <c r="A252" s="37" t="s">
        <v>79</v>
      </c>
      <c r="B252" s="34">
        <v>4</v>
      </c>
      <c r="C252" s="35">
        <v>23000</v>
      </c>
      <c r="D252" s="36">
        <v>92000</v>
      </c>
    </row>
    <row r="253" spans="1:4">
      <c r="A253" s="37" t="s">
        <v>83</v>
      </c>
      <c r="B253" s="34">
        <v>4</v>
      </c>
      <c r="C253" s="35">
        <v>6000</v>
      </c>
      <c r="D253" s="36">
        <v>24000</v>
      </c>
    </row>
    <row r="254" spans="1:4">
      <c r="A254" s="37" t="s">
        <v>61</v>
      </c>
      <c r="B254" s="34">
        <v>1</v>
      </c>
      <c r="C254" s="35">
        <v>28000</v>
      </c>
      <c r="D254" s="36">
        <v>28000</v>
      </c>
    </row>
    <row r="255" spans="1:4">
      <c r="A255" s="37" t="s">
        <v>62</v>
      </c>
      <c r="B255" s="34">
        <v>1</v>
      </c>
      <c r="C255" s="35">
        <v>25000</v>
      </c>
      <c r="D255" s="36">
        <v>25000</v>
      </c>
    </row>
    <row r="256" spans="1:4">
      <c r="A256" s="37"/>
      <c r="B256" s="34"/>
      <c r="C256" s="35"/>
      <c r="D256" s="36"/>
    </row>
    <row r="257" spans="1:4">
      <c r="A257" s="128" t="s">
        <v>2</v>
      </c>
      <c r="B257" s="129"/>
      <c r="C257" s="129"/>
      <c r="D257" s="38"/>
    </row>
    <row r="259" spans="1:4">
      <c r="A259" s="33" t="s">
        <v>78</v>
      </c>
      <c r="B259" s="33" t="s">
        <v>1</v>
      </c>
      <c r="C259" s="33" t="s">
        <v>76</v>
      </c>
      <c r="D259" s="33" t="s">
        <v>77</v>
      </c>
    </row>
    <row r="260" spans="1:4">
      <c r="A260" s="37" t="s">
        <v>61</v>
      </c>
      <c r="B260" s="34">
        <v>1</v>
      </c>
      <c r="C260" s="35">
        <v>28000</v>
      </c>
      <c r="D260" s="36">
        <v>28000</v>
      </c>
    </row>
    <row r="261" spans="1:4">
      <c r="A261" s="37" t="s">
        <v>79</v>
      </c>
      <c r="B261" s="34">
        <v>1</v>
      </c>
      <c r="C261" s="35">
        <v>23000</v>
      </c>
      <c r="D261" s="36">
        <v>23000</v>
      </c>
    </row>
    <row r="262" spans="1:4">
      <c r="A262" s="37" t="s">
        <v>83</v>
      </c>
      <c r="B262" s="34">
        <v>1</v>
      </c>
      <c r="C262" s="35">
        <v>6000</v>
      </c>
      <c r="D262" s="36">
        <v>6000</v>
      </c>
    </row>
    <row r="263" spans="1:4">
      <c r="A263" s="37"/>
      <c r="B263" s="34"/>
      <c r="C263" s="35"/>
      <c r="D263" s="36"/>
    </row>
    <row r="264" spans="1:4">
      <c r="A264" s="33" t="s">
        <v>78</v>
      </c>
      <c r="B264" s="33" t="s">
        <v>1</v>
      </c>
      <c r="C264" s="33" t="s">
        <v>76</v>
      </c>
      <c r="D264" s="33" t="s">
        <v>77</v>
      </c>
    </row>
    <row r="265" spans="1:4">
      <c r="A265" s="37" t="s">
        <v>82</v>
      </c>
      <c r="B265" s="34">
        <v>2</v>
      </c>
      <c r="C265" s="35">
        <v>28000</v>
      </c>
      <c r="D265" s="36">
        <v>56000</v>
      </c>
    </row>
    <row r="266" spans="1:4">
      <c r="A266" s="37"/>
      <c r="B266" s="34"/>
      <c r="C266" s="35"/>
      <c r="D266" s="36"/>
    </row>
    <row r="267" spans="1:4">
      <c r="A267" s="128" t="s">
        <v>2</v>
      </c>
      <c r="B267" s="129"/>
      <c r="C267" s="129"/>
      <c r="D267" s="38"/>
    </row>
    <row r="269" spans="1:4">
      <c r="A269" s="33" t="s">
        <v>78</v>
      </c>
      <c r="B269" s="33" t="s">
        <v>1</v>
      </c>
      <c r="C269" s="33" t="s">
        <v>76</v>
      </c>
      <c r="D269" s="33" t="s">
        <v>77</v>
      </c>
    </row>
    <row r="270" spans="1:4">
      <c r="A270" s="37" t="s">
        <v>80</v>
      </c>
      <c r="B270" s="34">
        <v>1</v>
      </c>
      <c r="C270" s="35">
        <v>24000</v>
      </c>
      <c r="D270" s="36">
        <v>24000</v>
      </c>
    </row>
    <row r="271" spans="1:4">
      <c r="A271" s="37"/>
      <c r="B271" s="34"/>
      <c r="C271" s="35"/>
      <c r="D271" s="36"/>
    </row>
    <row r="272" spans="1:4">
      <c r="A272" s="33" t="s">
        <v>78</v>
      </c>
      <c r="B272" s="33" t="s">
        <v>1</v>
      </c>
      <c r="C272" s="33" t="s">
        <v>76</v>
      </c>
      <c r="D272" s="33" t="s">
        <v>77</v>
      </c>
    </row>
    <row r="273" spans="1:4">
      <c r="A273" s="37" t="s">
        <v>62</v>
      </c>
      <c r="B273" s="34">
        <v>1</v>
      </c>
      <c r="C273" s="35">
        <v>25000</v>
      </c>
      <c r="D273" s="36">
        <v>25000</v>
      </c>
    </row>
    <row r="274" spans="1:4">
      <c r="A274" s="37" t="s">
        <v>58</v>
      </c>
      <c r="B274" s="34">
        <v>1</v>
      </c>
      <c r="C274" s="35">
        <v>30000</v>
      </c>
      <c r="D274" s="36">
        <v>30000</v>
      </c>
    </row>
    <row r="275" spans="1:4">
      <c r="A275" s="37" t="s">
        <v>79</v>
      </c>
      <c r="B275" s="34">
        <v>1</v>
      </c>
      <c r="C275" s="35" t="s">
        <v>90</v>
      </c>
      <c r="D275" s="36"/>
    </row>
    <row r="276" spans="1:4">
      <c r="A276" s="37" t="s">
        <v>89</v>
      </c>
      <c r="B276" s="34">
        <v>2</v>
      </c>
      <c r="C276" s="35">
        <v>6000</v>
      </c>
      <c r="D276" s="36">
        <v>12000</v>
      </c>
    </row>
    <row r="277" spans="1:4">
      <c r="A277" s="37"/>
      <c r="B277" s="34"/>
      <c r="C277" s="35"/>
      <c r="D277" s="36"/>
    </row>
  </sheetData>
  <mergeCells count="155">
    <mergeCell ref="AT45:AV45"/>
    <mergeCell ref="AT48:AW48"/>
    <mergeCell ref="AT52:AV52"/>
    <mergeCell ref="AT55:AW55"/>
    <mergeCell ref="AT62:AV62"/>
    <mergeCell ref="AT65:AW65"/>
    <mergeCell ref="AT70:AV70"/>
    <mergeCell ref="AT73:AW73"/>
    <mergeCell ref="AT77:AV77"/>
    <mergeCell ref="AT6:AW6"/>
    <mergeCell ref="AT11:AV11"/>
    <mergeCell ref="AT14:AW14"/>
    <mergeCell ref="AT19:AV19"/>
    <mergeCell ref="AT22:AW22"/>
    <mergeCell ref="AT27:AV27"/>
    <mergeCell ref="AT30:AW30"/>
    <mergeCell ref="AT35:AV35"/>
    <mergeCell ref="AT38:AW38"/>
    <mergeCell ref="AO44:AQ44"/>
    <mergeCell ref="AO47:AR47"/>
    <mergeCell ref="AO52:AQ52"/>
    <mergeCell ref="AO55:AR55"/>
    <mergeCell ref="AO59:AQ59"/>
    <mergeCell ref="AO62:AR62"/>
    <mergeCell ref="AO67:AQ67"/>
    <mergeCell ref="AO7:AR7"/>
    <mergeCell ref="AO11:AQ11"/>
    <mergeCell ref="AO14:AR14"/>
    <mergeCell ref="AO20:AQ20"/>
    <mergeCell ref="AO23:AR23"/>
    <mergeCell ref="AO27:AQ27"/>
    <mergeCell ref="AO30:AR30"/>
    <mergeCell ref="AO36:AQ36"/>
    <mergeCell ref="AO39:AR39"/>
    <mergeCell ref="F66:H66"/>
    <mergeCell ref="F101:H101"/>
    <mergeCell ref="F106:H106"/>
    <mergeCell ref="F113:H113"/>
    <mergeCell ref="F72:H72"/>
    <mergeCell ref="F78:H78"/>
    <mergeCell ref="F83:H83"/>
    <mergeCell ref="F88:H88"/>
    <mergeCell ref="F93:H93"/>
    <mergeCell ref="F8:H8"/>
    <mergeCell ref="F14:H14"/>
    <mergeCell ref="F19:H19"/>
    <mergeCell ref="F27:H27"/>
    <mergeCell ref="F33:H33"/>
    <mergeCell ref="F41:H41"/>
    <mergeCell ref="F48:H48"/>
    <mergeCell ref="F53:H53"/>
    <mergeCell ref="F60:H60"/>
    <mergeCell ref="A109:C109"/>
    <mergeCell ref="A8:C8"/>
    <mergeCell ref="A32:C32"/>
    <mergeCell ref="A38:C38"/>
    <mergeCell ref="A44:C44"/>
    <mergeCell ref="A51:C51"/>
    <mergeCell ref="A73:C73"/>
    <mergeCell ref="A78:C78"/>
    <mergeCell ref="A85:C85"/>
    <mergeCell ref="A93:C93"/>
    <mergeCell ref="A98:C98"/>
    <mergeCell ref="A104:C104"/>
    <mergeCell ref="A267:C267"/>
    <mergeCell ref="A213:C213"/>
    <mergeCell ref="A222:C222"/>
    <mergeCell ref="A232:C232"/>
    <mergeCell ref="A238:C238"/>
    <mergeCell ref="A249:C249"/>
    <mergeCell ref="A257:C257"/>
    <mergeCell ref="A199:C199"/>
    <mergeCell ref="A115:C115"/>
    <mergeCell ref="A125:C125"/>
    <mergeCell ref="A131:C131"/>
    <mergeCell ref="A139:C139"/>
    <mergeCell ref="A146:C146"/>
    <mergeCell ref="A152:C152"/>
    <mergeCell ref="A158:C158"/>
    <mergeCell ref="A164:C164"/>
    <mergeCell ref="A169:C169"/>
    <mergeCell ref="A177:C177"/>
    <mergeCell ref="A186:C186"/>
    <mergeCell ref="K44:M44"/>
    <mergeCell ref="K51:M51"/>
    <mergeCell ref="K60:M60"/>
    <mergeCell ref="K71:M71"/>
    <mergeCell ref="K76:M76"/>
    <mergeCell ref="K8:M8"/>
    <mergeCell ref="K15:M15"/>
    <mergeCell ref="K21:M21"/>
    <mergeCell ref="K26:M26"/>
    <mergeCell ref="K34:M34"/>
    <mergeCell ref="K145:M145"/>
    <mergeCell ref="K117:M117"/>
    <mergeCell ref="K122:M122"/>
    <mergeCell ref="K128:M128"/>
    <mergeCell ref="K133:M133"/>
    <mergeCell ref="K140:M140"/>
    <mergeCell ref="K82:M82"/>
    <mergeCell ref="K93:M93"/>
    <mergeCell ref="K100:M100"/>
    <mergeCell ref="K107:M107"/>
    <mergeCell ref="K112:M112"/>
    <mergeCell ref="P119:R119"/>
    <mergeCell ref="P68:R68"/>
    <mergeCell ref="P75:R75"/>
    <mergeCell ref="P81:R81"/>
    <mergeCell ref="P87:R87"/>
    <mergeCell ref="P95:R95"/>
    <mergeCell ref="P36:R36"/>
    <mergeCell ref="P41:R41"/>
    <mergeCell ref="P48:R48"/>
    <mergeCell ref="P55:R55"/>
    <mergeCell ref="P62:R62"/>
    <mergeCell ref="U29:W29"/>
    <mergeCell ref="U6:X6"/>
    <mergeCell ref="U11:W11"/>
    <mergeCell ref="U14:X14"/>
    <mergeCell ref="U18:W18"/>
    <mergeCell ref="U21:X21"/>
    <mergeCell ref="P101:R101"/>
    <mergeCell ref="P108:R108"/>
    <mergeCell ref="P113:R113"/>
    <mergeCell ref="P8:R8"/>
    <mergeCell ref="P13:R13"/>
    <mergeCell ref="P19:R19"/>
    <mergeCell ref="P26:R26"/>
    <mergeCell ref="P31:R31"/>
    <mergeCell ref="Z51:AB51"/>
    <mergeCell ref="Z54:AC54"/>
    <mergeCell ref="Z59:AB59"/>
    <mergeCell ref="Z62:AC62"/>
    <mergeCell ref="Z67:AB67"/>
    <mergeCell ref="Z6:AC6"/>
    <mergeCell ref="Z17:AB17"/>
    <mergeCell ref="Z20:AC20"/>
    <mergeCell ref="Z44:AB44"/>
    <mergeCell ref="Z47:AC47"/>
    <mergeCell ref="AY44:BA44"/>
    <mergeCell ref="AY47:BB47"/>
    <mergeCell ref="AY52:BA52"/>
    <mergeCell ref="AY55:BB55"/>
    <mergeCell ref="AY59:BA59"/>
    <mergeCell ref="AY62:BB62"/>
    <mergeCell ref="AY67:BA67"/>
    <mergeCell ref="AY6:BB6"/>
    <mergeCell ref="AY13:BA13"/>
    <mergeCell ref="AY16:BB16"/>
    <mergeCell ref="AY22:BA22"/>
    <mergeCell ref="AY25:BB25"/>
    <mergeCell ref="AY29:BA29"/>
    <mergeCell ref="AY32:BB32"/>
    <mergeCell ref="AY37:BA37"/>
    <mergeCell ref="AY40:BB4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MENU</vt:lpstr>
      <vt:lpstr>MATERIAL</vt:lpstr>
      <vt:lpstr>BILL</vt:lpstr>
      <vt:lpstr>THONG KE</vt:lpstr>
      <vt:lpstr>DT</vt:lpstr>
      <vt:lpstr>TONG_LY</vt:lpstr>
      <vt:lpstr>1_5</vt:lpstr>
      <vt:lpstr>BILL!Print_Area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2025-05-13T09:23:52Z</cp:lastPrinted>
  <dcterms:created xsi:type="dcterms:W3CDTF">2025-04-09T14:58:51Z</dcterms:created>
  <dcterms:modified xsi:type="dcterms:W3CDTF">2025-05-26T16:39:40Z</dcterms:modified>
</cp:coreProperties>
</file>